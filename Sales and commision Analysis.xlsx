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ppoz-my.sharepoint.com/personal/99685_student_up_poznan_pl/Documents/Desktop/"/>
    </mc:Choice>
  </mc:AlternateContent>
  <xr:revisionPtr revIDLastSave="1" documentId="8_{FE944169-648B-40AF-8423-53795A6A0DAA}" xr6:coauthVersionLast="47" xr6:coauthVersionMax="47" xr10:uidLastSave="{18632866-8374-448A-B9CE-EF62FD3BAC50}"/>
  <bookViews>
    <workbookView xWindow="-120" yWindow="-120" windowWidth="29040" windowHeight="15720" tabRatio="606" firstSheet="3" activeTab="5" xr2:uid="{00000000-000D-0000-FFFF-FFFF00000000}"/>
  </bookViews>
  <sheets>
    <sheet name="Employees" sheetId="1" r:id="rId1"/>
    <sheet name="Customers" sheetId="2" state="hidden" r:id="rId2"/>
    <sheet name="Products" sheetId="3" state="hidden" r:id="rId3"/>
    <sheet name="Sales" sheetId="4" r:id="rId4"/>
    <sheet name="Pivot" sheetId="15" state="hidden" r:id="rId5"/>
    <sheet name="Analysis" sheetId="17" r:id="rId6"/>
    <sheet name="Employees + Sales" sheetId="5" r:id="rId7"/>
    <sheet name="Base Rates Only " sheetId="7" r:id="rId8"/>
    <sheet name="Base Salary + commission" sheetId="9" r:id="rId9"/>
    <sheet name="Draw Against" sheetId="10" r:id="rId10"/>
    <sheet name="Gross Margin" sheetId="11" r:id="rId11"/>
    <sheet name="Tiered Commission" sheetId="12" r:id="rId12"/>
    <sheet name="Tertiary Volume" sheetId="14" r:id="rId13"/>
  </sheets>
  <definedNames>
    <definedName name="_xlchart.v1.0" hidden="1">Pivot!$D$44:$D$49</definedName>
    <definedName name="_xlchart.v1.1" hidden="1">Pivot!$E$43</definedName>
    <definedName name="_xlchart.v1.2" hidden="1">Pivot!$E$44:$E$49</definedName>
    <definedName name="_xlchart.v1.3" hidden="1">Pivot!$D$44:$D$49</definedName>
    <definedName name="_xlchart.v1.4" hidden="1">Pivot!$E$43</definedName>
    <definedName name="_xlchart.v1.5" hidden="1">Pivot!$E$44:$E$49</definedName>
    <definedName name="_xlchart.v1.6" hidden="1">Pivot!$D$44:$D$49</definedName>
    <definedName name="_xlchart.v1.7" hidden="1">Pivot!$E$43</definedName>
    <definedName name="_xlchart.v1.8" hidden="1">Pivot!$E$44:$E$49</definedName>
  </definedNames>
  <calcPr calcId="191029"/>
  <pivotCaches>
    <pivotCache cacheId="6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5" l="1"/>
  <c r="I11" i="5"/>
  <c r="I18" i="5"/>
  <c r="I34" i="5"/>
  <c r="I45" i="5"/>
  <c r="I46" i="5"/>
  <c r="I48" i="5"/>
  <c r="K10" i="14" a="1"/>
  <c r="K10" i="14" s="1"/>
  <c r="L10" i="14" s="1"/>
  <c r="N10" i="14" s="1"/>
  <c r="E8" i="14" a="1"/>
  <c r="G9" i="14" s="1"/>
  <c r="E7" i="12" a="1"/>
  <c r="E7" i="12" s="1"/>
  <c r="G15" i="11"/>
  <c r="H9" i="11"/>
  <c r="H10" i="11"/>
  <c r="H11" i="11"/>
  <c r="H12" i="11"/>
  <c r="H13" i="11"/>
  <c r="H14" i="11"/>
  <c r="H15" i="11"/>
  <c r="H16" i="11"/>
  <c r="H8" i="11"/>
  <c r="E8" i="11" a="1"/>
  <c r="G10" i="11" s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G14" i="11" s="1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G16" i="11" s="1"/>
  <c r="H51" i="5"/>
  <c r="G13" i="10"/>
  <c r="G12" i="10"/>
  <c r="G11" i="10"/>
  <c r="G10" i="10"/>
  <c r="G9" i="10"/>
  <c r="G8" i="10"/>
  <c r="E8" i="10" a="1"/>
  <c r="H9" i="9"/>
  <c r="H10" i="9"/>
  <c r="H11" i="9"/>
  <c r="H12" i="9"/>
  <c r="H13" i="9"/>
  <c r="H14" i="9"/>
  <c r="H15" i="9"/>
  <c r="H16" i="9"/>
  <c r="E9" i="7"/>
  <c r="E10" i="7"/>
  <c r="E11" i="7"/>
  <c r="E12" i="7"/>
  <c r="E13" i="7"/>
  <c r="E14" i="7"/>
  <c r="E8" i="7"/>
  <c r="H8" i="9"/>
  <c r="E8" i="9" a="1"/>
  <c r="D8" i="7" a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I16" i="11" l="1"/>
  <c r="I50" i="5" s="1"/>
  <c r="G9" i="11"/>
  <c r="I9" i="11" s="1"/>
  <c r="I14" i="5" s="1"/>
  <c r="I15" i="11"/>
  <c r="I40" i="5" s="1"/>
  <c r="G13" i="11"/>
  <c r="I13" i="11" s="1"/>
  <c r="I35" i="5" s="1"/>
  <c r="G12" i="11"/>
  <c r="I12" i="11" s="1"/>
  <c r="I32" i="5" s="1"/>
  <c r="I14" i="11"/>
  <c r="I36" i="5" s="1"/>
  <c r="I10" i="11"/>
  <c r="I23" i="5" s="1"/>
  <c r="G11" i="11"/>
  <c r="I11" i="11" s="1"/>
  <c r="I29" i="5" s="1"/>
  <c r="G16" i="14"/>
  <c r="G15" i="14"/>
  <c r="F16" i="14"/>
  <c r="G14" i="14"/>
  <c r="L14" i="14"/>
  <c r="N14" i="14" s="1"/>
  <c r="F12" i="14"/>
  <c r="L13" i="14"/>
  <c r="N13" i="14" s="1"/>
  <c r="F19" i="14"/>
  <c r="F11" i="14"/>
  <c r="L12" i="14"/>
  <c r="N12" i="14" s="1"/>
  <c r="F18" i="14"/>
  <c r="F10" i="14"/>
  <c r="L11" i="14"/>
  <c r="N11" i="14" s="1"/>
  <c r="F17" i="14"/>
  <c r="F9" i="14"/>
  <c r="G13" i="14"/>
  <c r="G12" i="14"/>
  <c r="G11" i="14"/>
  <c r="F14" i="14"/>
  <c r="G18" i="14"/>
  <c r="G10" i="14"/>
  <c r="F15" i="14"/>
  <c r="G19" i="14"/>
  <c r="F13" i="14"/>
  <c r="G17" i="14"/>
  <c r="E8" i="14"/>
  <c r="G8" i="14" s="1"/>
  <c r="F7" i="12"/>
  <c r="F8" i="12"/>
  <c r="F9" i="12"/>
  <c r="F11" i="12"/>
  <c r="F13" i="12"/>
  <c r="F12" i="12"/>
  <c r="F10" i="12"/>
  <c r="F16" i="11"/>
  <c r="F15" i="11"/>
  <c r="F13" i="11"/>
  <c r="F14" i="11"/>
  <c r="F12" i="11"/>
  <c r="F10" i="11"/>
  <c r="F11" i="11"/>
  <c r="F9" i="11"/>
  <c r="E8" i="11"/>
  <c r="G8" i="11" s="1"/>
  <c r="I8" i="11" s="1"/>
  <c r="I8" i="5" s="1"/>
  <c r="G11" i="9"/>
  <c r="F9" i="9"/>
  <c r="G10" i="9"/>
  <c r="F16" i="9"/>
  <c r="G9" i="9"/>
  <c r="F15" i="9"/>
  <c r="G16" i="9"/>
  <c r="F14" i="9"/>
  <c r="G15" i="9"/>
  <c r="F13" i="9"/>
  <c r="G14" i="9"/>
  <c r="F12" i="9"/>
  <c r="G13" i="9"/>
  <c r="F14" i="7"/>
  <c r="G14" i="7" s="1"/>
  <c r="F11" i="9"/>
  <c r="G12" i="9"/>
  <c r="F10" i="9"/>
  <c r="F10" i="10"/>
  <c r="H10" i="10" s="1"/>
  <c r="F12" i="10"/>
  <c r="H12" i="10" s="1"/>
  <c r="I12" i="10"/>
  <c r="E8" i="10"/>
  <c r="I13" i="10"/>
  <c r="I10" i="10"/>
  <c r="I11" i="10"/>
  <c r="F13" i="10"/>
  <c r="H13" i="10" s="1"/>
  <c r="F11" i="10"/>
  <c r="H11" i="10" s="1"/>
  <c r="I9" i="10"/>
  <c r="F9" i="10"/>
  <c r="H9" i="10" s="1"/>
  <c r="E8" i="9"/>
  <c r="F11" i="7"/>
  <c r="G11" i="7" s="1"/>
  <c r="F12" i="7"/>
  <c r="G12" i="7" s="1"/>
  <c r="D8" i="7"/>
  <c r="F8" i="7" s="1"/>
  <c r="G8" i="7" s="1"/>
  <c r="F9" i="7"/>
  <c r="G9" i="7" s="1"/>
  <c r="F13" i="7"/>
  <c r="G13" i="7" s="1"/>
  <c r="F10" i="7"/>
  <c r="G10" i="7" s="1"/>
  <c r="K9" i="10" l="1"/>
  <c r="I20" i="5" s="1"/>
  <c r="H8" i="14" a="1"/>
  <c r="H8" i="14" s="1"/>
  <c r="I2" i="5" s="1"/>
  <c r="H9" i="14" a="1"/>
  <c r="H9" i="14" s="1"/>
  <c r="I7" i="5" s="1"/>
  <c r="H11" i="14" a="1"/>
  <c r="H11" i="14" s="1"/>
  <c r="I15" i="5" s="1"/>
  <c r="J12" i="10"/>
  <c r="H15" i="14" a="1"/>
  <c r="H15" i="14" s="1"/>
  <c r="I28" i="5" s="1"/>
  <c r="H17" i="14" a="1"/>
  <c r="H17" i="14" s="1"/>
  <c r="I38" i="5" s="1"/>
  <c r="H12" i="14" a="1"/>
  <c r="H12" i="14" s="1"/>
  <c r="I19" i="5" s="1"/>
  <c r="H16" i="14" a="1"/>
  <c r="H16" i="14" s="1"/>
  <c r="I31" i="5" s="1"/>
  <c r="H13" i="14" a="1"/>
  <c r="H13" i="14" s="1"/>
  <c r="I21" i="5" s="1"/>
  <c r="H19" i="14" a="1"/>
  <c r="H19" i="14" s="1"/>
  <c r="I41" i="5" s="1"/>
  <c r="H10" i="14" a="1"/>
  <c r="H10" i="14" s="1"/>
  <c r="I13" i="5" s="1"/>
  <c r="H18" i="14" a="1"/>
  <c r="H18" i="14" s="1"/>
  <c r="I39" i="5" s="1"/>
  <c r="H14" i="14" a="1"/>
  <c r="H14" i="14" s="1"/>
  <c r="I24" i="5" s="1"/>
  <c r="F8" i="14"/>
  <c r="G10" i="12"/>
  <c r="H10" i="12" s="1"/>
  <c r="I42" i="5" s="1"/>
  <c r="G12" i="12"/>
  <c r="H12" i="12" s="1"/>
  <c r="I49" i="5" s="1"/>
  <c r="G11" i="12"/>
  <c r="H11" i="12" s="1"/>
  <c r="I43" i="5" s="1"/>
  <c r="G9" i="12"/>
  <c r="H9" i="12" s="1"/>
  <c r="I33" i="5" s="1"/>
  <c r="G13" i="12"/>
  <c r="H13" i="12" s="1"/>
  <c r="I51" i="5" s="1"/>
  <c r="G8" i="12"/>
  <c r="H8" i="12" s="1"/>
  <c r="I6" i="5" s="1"/>
  <c r="G7" i="12"/>
  <c r="H7" i="12" s="1"/>
  <c r="I4" i="5" s="1"/>
  <c r="F8" i="11"/>
  <c r="J13" i="10"/>
  <c r="K11" i="10"/>
  <c r="I26" i="5" s="1"/>
  <c r="K10" i="10"/>
  <c r="I25" i="5" s="1"/>
  <c r="J11" i="10"/>
  <c r="J10" i="10"/>
  <c r="J9" i="10"/>
  <c r="K12" i="10"/>
  <c r="I37" i="5" s="1"/>
  <c r="K13" i="10"/>
  <c r="I44" i="5" s="1"/>
  <c r="I11" i="9"/>
  <c r="I16" i="5" s="1"/>
  <c r="I13" i="9"/>
  <c r="I22" i="5" s="1"/>
  <c r="I15" i="9"/>
  <c r="I30" i="5" s="1"/>
  <c r="I12" i="9"/>
  <c r="I17" i="5" s="1"/>
  <c r="I9" i="9"/>
  <c r="I9" i="5" s="1"/>
  <c r="G8" i="9"/>
  <c r="F8" i="9"/>
  <c r="I16" i="9"/>
  <c r="I47" i="5" s="1"/>
  <c r="I10" i="9"/>
  <c r="I10" i="5" s="1"/>
  <c r="I14" i="9"/>
  <c r="I27" i="5" s="1"/>
  <c r="F8" i="10"/>
  <c r="H8" i="10" s="1"/>
  <c r="I8" i="10"/>
  <c r="K8" i="10" l="1"/>
  <c r="I12" i="5" s="1"/>
  <c r="J8" i="10"/>
  <c r="I8" i="9"/>
  <c r="I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<sst xmlns="http://schemas.openxmlformats.org/spreadsheetml/2006/main" count="3719" uniqueCount="749">
  <si>
    <t>EmployeeID</t>
  </si>
  <si>
    <t>EmployeeName</t>
  </si>
  <si>
    <t>Department</t>
  </si>
  <si>
    <t>Market</t>
  </si>
  <si>
    <t>CommissionPlan</t>
  </si>
  <si>
    <t>E001</t>
  </si>
  <si>
    <t>Tammy Salazar MD</t>
  </si>
  <si>
    <t>Electronics</t>
  </si>
  <si>
    <t>North America</t>
  </si>
  <si>
    <t>Tertiary Volume</t>
  </si>
  <si>
    <t>E002</t>
  </si>
  <si>
    <t>Julia Kelly</t>
  </si>
  <si>
    <t>Furniture</t>
  </si>
  <si>
    <t>Europe</t>
  </si>
  <si>
    <t>Base Salary + Commission</t>
  </si>
  <si>
    <t>E003</t>
  </si>
  <si>
    <t>Isaiah Peterson</t>
  </si>
  <si>
    <t>Industrial</t>
  </si>
  <si>
    <t>Tiered Commission</t>
  </si>
  <si>
    <t>E004</t>
  </si>
  <si>
    <t>Amanda Williams</t>
  </si>
  <si>
    <t>Base Rate Only</t>
  </si>
  <si>
    <t>E005</t>
  </si>
  <si>
    <t>Johnny Mata</t>
  </si>
  <si>
    <t>South America</t>
  </si>
  <si>
    <t>E006</t>
  </si>
  <si>
    <t>Michael Payne</t>
  </si>
  <si>
    <t>E007</t>
  </si>
  <si>
    <t>Sandra Combs</t>
  </si>
  <si>
    <t>Tools</t>
  </si>
  <si>
    <t>Gross Margin</t>
  </si>
  <si>
    <t>E008</t>
  </si>
  <si>
    <t>Kyle Hall</t>
  </si>
  <si>
    <t>Agriculture</t>
  </si>
  <si>
    <t>E009</t>
  </si>
  <si>
    <t>Dr. Justin Stephens</t>
  </si>
  <si>
    <t>Africa</t>
  </si>
  <si>
    <t>E010</t>
  </si>
  <si>
    <t>Stephanie Hunt DVM</t>
  </si>
  <si>
    <t>E011</t>
  </si>
  <si>
    <t>Kayla Sellers</t>
  </si>
  <si>
    <t>Draw Against Commission</t>
  </si>
  <si>
    <t>E012</t>
  </si>
  <si>
    <t>Edward Hayes</t>
  </si>
  <si>
    <t>E013</t>
  </si>
  <si>
    <t>Kristin Knight</t>
  </si>
  <si>
    <t>E014</t>
  </si>
  <si>
    <t>Janet Alexander</t>
  </si>
  <si>
    <t>E015</t>
  </si>
  <si>
    <t>Jody Wallace</t>
  </si>
  <si>
    <t>E016</t>
  </si>
  <si>
    <t>Stephanie Drake</t>
  </si>
  <si>
    <t>Middle East</t>
  </si>
  <si>
    <t>E017</t>
  </si>
  <si>
    <t>Christopher Garcia</t>
  </si>
  <si>
    <t>E018</t>
  </si>
  <si>
    <t>Patricia Wolf</t>
  </si>
  <si>
    <t>Asia</t>
  </si>
  <si>
    <t>E019</t>
  </si>
  <si>
    <t>Donald Cole</t>
  </si>
  <si>
    <t>E020</t>
  </si>
  <si>
    <t>Deborah Ruiz</t>
  </si>
  <si>
    <t>E021</t>
  </si>
  <si>
    <t>Tammy Mosley</t>
  </si>
  <si>
    <t>E022</t>
  </si>
  <si>
    <t>Laura Campbell</t>
  </si>
  <si>
    <t>E023</t>
  </si>
  <si>
    <t>Kenneth Reyes</t>
  </si>
  <si>
    <t>E024</t>
  </si>
  <si>
    <t>Kristin Bradley</t>
  </si>
  <si>
    <t>E025</t>
  </si>
  <si>
    <t>Maria Anderson</t>
  </si>
  <si>
    <t>E026</t>
  </si>
  <si>
    <t>Kelsey Brown</t>
  </si>
  <si>
    <t>E027</t>
  </si>
  <si>
    <t>Dylan Cardenas</t>
  </si>
  <si>
    <t>E028</t>
  </si>
  <si>
    <t>Adam Lee</t>
  </si>
  <si>
    <t>E029</t>
  </si>
  <si>
    <t>Christopher Long</t>
  </si>
  <si>
    <t>E030</t>
  </si>
  <si>
    <t>Laura Pierce</t>
  </si>
  <si>
    <t>E031</t>
  </si>
  <si>
    <t>Ashley Robertson</t>
  </si>
  <si>
    <t>E032</t>
  </si>
  <si>
    <t>Darryl Lopez</t>
  </si>
  <si>
    <t>E033</t>
  </si>
  <si>
    <t>Edward Anderson</t>
  </si>
  <si>
    <t>E034</t>
  </si>
  <si>
    <t>Brenda Conley</t>
  </si>
  <si>
    <t>E035</t>
  </si>
  <si>
    <t>Robert Frost</t>
  </si>
  <si>
    <t>E036</t>
  </si>
  <si>
    <t>Tanya Haney</t>
  </si>
  <si>
    <t>E037</t>
  </si>
  <si>
    <t>Melissa Reyes</t>
  </si>
  <si>
    <t>E038</t>
  </si>
  <si>
    <t>Caleb Thomas</t>
  </si>
  <si>
    <t>E039</t>
  </si>
  <si>
    <t>John Lindsey</t>
  </si>
  <si>
    <t>E040</t>
  </si>
  <si>
    <t>David Martin</t>
  </si>
  <si>
    <t>E041</t>
  </si>
  <si>
    <t>Michael Friedman</t>
  </si>
  <si>
    <t>E042</t>
  </si>
  <si>
    <t>Dr. Chad Miller</t>
  </si>
  <si>
    <t>E043</t>
  </si>
  <si>
    <t>Heather Santos</t>
  </si>
  <si>
    <t>E044</t>
  </si>
  <si>
    <t>Michael Meyer</t>
  </si>
  <si>
    <t>E045</t>
  </si>
  <si>
    <t>Laura Sampson</t>
  </si>
  <si>
    <t>E046</t>
  </si>
  <si>
    <t>Emily Alexander</t>
  </si>
  <si>
    <t>E047</t>
  </si>
  <si>
    <t>Betty Thompson</t>
  </si>
  <si>
    <t>E048</t>
  </si>
  <si>
    <t>Steven Woodard</t>
  </si>
  <si>
    <t>E049</t>
  </si>
  <si>
    <t>Gregory Soto</t>
  </si>
  <si>
    <t>E050</t>
  </si>
  <si>
    <t>Joseph Berry</t>
  </si>
  <si>
    <t>CustomerID</t>
  </si>
  <si>
    <t>CustomerName</t>
  </si>
  <si>
    <t>CustomerType</t>
  </si>
  <si>
    <t>Region</t>
  </si>
  <si>
    <t>C001</t>
  </si>
  <si>
    <t>Customer_1</t>
  </si>
  <si>
    <t>Enterprise</t>
  </si>
  <si>
    <t>C002</t>
  </si>
  <si>
    <t>Customer_2</t>
  </si>
  <si>
    <t>Retailer</t>
  </si>
  <si>
    <t>C003</t>
  </si>
  <si>
    <t>Customer_3</t>
  </si>
  <si>
    <t>Wholesaler</t>
  </si>
  <si>
    <t>C004</t>
  </si>
  <si>
    <t>Customer_4</t>
  </si>
  <si>
    <t>Key Account</t>
  </si>
  <si>
    <t>C005</t>
  </si>
  <si>
    <t>Customer_5</t>
  </si>
  <si>
    <t>C006</t>
  </si>
  <si>
    <t>Customer_6</t>
  </si>
  <si>
    <t>C007</t>
  </si>
  <si>
    <t>Customer_7</t>
  </si>
  <si>
    <t>Distributor</t>
  </si>
  <si>
    <t>C008</t>
  </si>
  <si>
    <t>Customer_8</t>
  </si>
  <si>
    <t>C009</t>
  </si>
  <si>
    <t>Customer_9</t>
  </si>
  <si>
    <t>C010</t>
  </si>
  <si>
    <t>Customer_10</t>
  </si>
  <si>
    <t>C011</t>
  </si>
  <si>
    <t>Customer_11</t>
  </si>
  <si>
    <t>C012</t>
  </si>
  <si>
    <t>Customer_12</t>
  </si>
  <si>
    <t>C013</t>
  </si>
  <si>
    <t>Customer_13</t>
  </si>
  <si>
    <t>C014</t>
  </si>
  <si>
    <t>Customer_14</t>
  </si>
  <si>
    <t>C015</t>
  </si>
  <si>
    <t>Customer_15</t>
  </si>
  <si>
    <t>C016</t>
  </si>
  <si>
    <t>Customer_16</t>
  </si>
  <si>
    <t>C017</t>
  </si>
  <si>
    <t>Customer_17</t>
  </si>
  <si>
    <t>C018</t>
  </si>
  <si>
    <t>Customer_18</t>
  </si>
  <si>
    <t>C019</t>
  </si>
  <si>
    <t>Customer_19</t>
  </si>
  <si>
    <t>C020</t>
  </si>
  <si>
    <t>Customer_20</t>
  </si>
  <si>
    <t>ProductID</t>
  </si>
  <si>
    <t>ProductName</t>
  </si>
  <si>
    <t>UnitPrice</t>
  </si>
  <si>
    <t>CostPrice</t>
  </si>
  <si>
    <t>P001</t>
  </si>
  <si>
    <t>Laptop Pro X</t>
  </si>
  <si>
    <t>P002</t>
  </si>
  <si>
    <t>Office Chair</t>
  </si>
  <si>
    <t>P003</t>
  </si>
  <si>
    <t>Organic Seeds</t>
  </si>
  <si>
    <t>P004</t>
  </si>
  <si>
    <t>Industrial Drill</t>
  </si>
  <si>
    <t>P005</t>
  </si>
  <si>
    <t>Smartwatch Z</t>
  </si>
  <si>
    <t>P006</t>
  </si>
  <si>
    <t>Solar Panel Kit</t>
  </si>
  <si>
    <t>SaleID</t>
  </si>
  <si>
    <t>Date</t>
  </si>
  <si>
    <t>Quantity</t>
  </si>
  <si>
    <t>TotalSaleValue</t>
  </si>
  <si>
    <t>GrossMargin</t>
  </si>
  <si>
    <t>S0001</t>
  </si>
  <si>
    <t>2025-08-08</t>
  </si>
  <si>
    <t>S0002</t>
  </si>
  <si>
    <t>2025-08-04</t>
  </si>
  <si>
    <t>S0003</t>
  </si>
  <si>
    <t>2025-08-14</t>
  </si>
  <si>
    <t>S0004</t>
  </si>
  <si>
    <t>2025-08-21</t>
  </si>
  <si>
    <t>S0005</t>
  </si>
  <si>
    <t>2025-08-11</t>
  </si>
  <si>
    <t>S0006</t>
  </si>
  <si>
    <t>2025-08-18</t>
  </si>
  <si>
    <t>S0007</t>
  </si>
  <si>
    <t>2025-08-09</t>
  </si>
  <si>
    <t>S0008</t>
  </si>
  <si>
    <t>2025-08-26</t>
  </si>
  <si>
    <t>S0009</t>
  </si>
  <si>
    <t>S0010</t>
  </si>
  <si>
    <t>2025-08-06</t>
  </si>
  <si>
    <t>S0011</t>
  </si>
  <si>
    <t>2025-08-28</t>
  </si>
  <si>
    <t>S0012</t>
  </si>
  <si>
    <t>2025-08-01</t>
  </si>
  <si>
    <t>S0013</t>
  </si>
  <si>
    <t>S0014</t>
  </si>
  <si>
    <t>2025-08-16</t>
  </si>
  <si>
    <t>S0015</t>
  </si>
  <si>
    <t>2025-08-31</t>
  </si>
  <si>
    <t>S0016</t>
  </si>
  <si>
    <t>2025-08-02</t>
  </si>
  <si>
    <t>S0017</t>
  </si>
  <si>
    <t>2025-08-19</t>
  </si>
  <si>
    <t>S0018</t>
  </si>
  <si>
    <t>S0019</t>
  </si>
  <si>
    <t>2025-08-20</t>
  </si>
  <si>
    <t>S0020</t>
  </si>
  <si>
    <t>S0021</t>
  </si>
  <si>
    <t>S0022</t>
  </si>
  <si>
    <t>S0023</t>
  </si>
  <si>
    <t>2025-08-07</t>
  </si>
  <si>
    <t>S0024</t>
  </si>
  <si>
    <t>2025-08-13</t>
  </si>
  <si>
    <t>S0025</t>
  </si>
  <si>
    <t>2025-08-30</t>
  </si>
  <si>
    <t>S0026</t>
  </si>
  <si>
    <t>S0027</t>
  </si>
  <si>
    <t>2025-08-17</t>
  </si>
  <si>
    <t>S0028</t>
  </si>
  <si>
    <t>2025-08-29</t>
  </si>
  <si>
    <t>S0029</t>
  </si>
  <si>
    <t>2025-08-15</t>
  </si>
  <si>
    <t>S0030</t>
  </si>
  <si>
    <t>S0031</t>
  </si>
  <si>
    <t>S0032</t>
  </si>
  <si>
    <t>2025-08-24</t>
  </si>
  <si>
    <t>S0033</t>
  </si>
  <si>
    <t>S0034</t>
  </si>
  <si>
    <t>S0035</t>
  </si>
  <si>
    <t>S0036</t>
  </si>
  <si>
    <t>2025-08-27</t>
  </si>
  <si>
    <t>S0037</t>
  </si>
  <si>
    <t>2025-08-25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</si>
  <si>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</si>
  <si>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</si>
  <si>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</si>
  <si>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</si>
  <si>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</si>
  <si>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</si>
  <si>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</si>
  <si>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</si>
  <si>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</si>
  <si>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</si>
  <si>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</si>
  <si>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</si>
  <si>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</si>
  <si>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2025-08-12</t>
  </si>
  <si>
    <t>S0051</t>
  </si>
  <si>
    <t>2025-08-22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</si>
  <si>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</si>
  <si>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</si>
  <si>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</si>
  <si>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</si>
  <si>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</si>
  <si>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</si>
  <si>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</si>
  <si>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</si>
  <si>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</si>
  <si>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2025-08-03</t>
  </si>
  <si>
    <t>S0061</t>
  </si>
  <si>
    <t>S0062</t>
  </si>
  <si>
    <t>S0063</t>
  </si>
  <si>
    <t>2025-08-10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</si>
  <si>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</si>
  <si>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</si>
  <si>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</si>
  <si>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</si>
  <si>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</si>
  <si>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</si>
  <si>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</si>
  <si>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</si>
  <si>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</si>
  <si>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2025-08-05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</si>
  <si>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</si>
  <si>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</si>
  <si>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</si>
  <si>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</si>
  <si>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</si>
  <si>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</si>
  <si>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</si>
  <si>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</si>
  <si>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</si>
  <si>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</si>
  <si>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</si>
  <si>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</si>
  <si>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</si>
  <si>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</si>
  <si>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</si>
  <si>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</si>
  <si>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2025-08-23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</si>
  <si>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</si>
  <si>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</si>
  <si>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</si>
  <si>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</si>
  <si>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</si>
  <si>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</si>
  <si>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</si>
  <si>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</si>
  <si>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</si>
  <si>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</si>
  <si>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</si>
  <si>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</si>
  <si>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</si>
  <si>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</si>
  <si>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</si>
  <si>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</si>
  <si>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</si>
  <si>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</si>
  <si>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</si>
  <si>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</si>
  <si>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</si>
  <si>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</si>
  <si>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</si>
  <si>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</si>
  <si>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</si>
  <si>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</si>
  <si>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</si>
  <si>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</si>
  <si>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</si>
  <si>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</si>
  <si>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</si>
  <si>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</si>
  <si>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</si>
  <si>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</si>
  <si>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</si>
  <si>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</si>
  <si>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</si>
  <si>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</si>
  <si>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</si>
  <si>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</si>
  <si>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</si>
  <si>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</si>
  <si>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</si>
  <si>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</si>
  <si>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</si>
  <si>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</si>
  <si>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</si>
  <si>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</si>
  <si>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</si>
  <si>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</si>
  <si>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</si>
  <si>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</si>
  <si>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</si>
  <si>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</si>
  <si>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</si>
  <si>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</si>
  <si>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</si>
  <si>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</si>
  <si>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</si>
  <si>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</si>
  <si>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</si>
  <si>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</si>
  <si>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</si>
  <si>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</si>
  <si>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</si>
  <si>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</si>
  <si>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</si>
  <si>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</si>
  <si>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</si>
  <si>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</si>
  <si>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</si>
  <si>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</si>
  <si>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</si>
  <si>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</si>
  <si>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</si>
  <si>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</si>
  <si>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</si>
  <si>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</si>
  <si>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</si>
  <si>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</si>
  <si>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</si>
  <si>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</si>
  <si>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</si>
  <si>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</si>
  <si>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</si>
  <si>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</si>
  <si>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</si>
  <si>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</si>
  <si>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</si>
  <si>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</si>
  <si>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</si>
  <si>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</si>
  <si>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</si>
  <si>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</si>
  <si>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</si>
  <si>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</si>
  <si>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</si>
  <si>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</si>
  <si>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</si>
  <si>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</si>
  <si>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</si>
  <si>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</si>
  <si>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</si>
  <si>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</si>
  <si>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</si>
  <si>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</si>
  <si>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</si>
  <si>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</si>
  <si>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</si>
  <si>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</si>
  <si>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</si>
  <si>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</si>
  <si>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</si>
  <si>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</si>
  <si>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</si>
  <si>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</si>
  <si>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</si>
  <si>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</si>
  <si>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</si>
  <si>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</si>
  <si>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</si>
  <si>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</si>
  <si>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</si>
  <si>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</si>
  <si>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</si>
  <si>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</si>
  <si>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</si>
  <si>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</si>
  <si>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</si>
  <si>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</si>
  <si>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</si>
  <si>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</si>
  <si>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</si>
  <si>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</si>
  <si>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</si>
  <si>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</si>
  <si>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</si>
  <si>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</si>
  <si>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</si>
  <si>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</si>
  <si>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</si>
  <si>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</si>
  <si>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</si>
  <si>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</si>
  <si>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</si>
  <si>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</si>
  <si>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</si>
  <si>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</si>
  <si>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</si>
  <si>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</si>
  <si>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</si>
  <si>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</si>
  <si>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</si>
  <si>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</si>
  <si>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</si>
  <si>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</si>
  <si>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</si>
  <si>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</si>
  <si>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</si>
  <si>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</si>
  <si>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</si>
  <si>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</si>
  <si>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</si>
  <si>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</si>
  <si>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</si>
  <si>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</si>
  <si>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</si>
  <si>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</si>
  <si>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</si>
  <si>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</si>
  <si>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</si>
  <si>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</si>
  <si>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</si>
  <si>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</si>
  <si>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</si>
  <si>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</si>
  <si>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</si>
  <si>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</si>
  <si>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</si>
  <si>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</si>
  <si>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</si>
  <si>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</si>
  <si>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</si>
  <si>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</si>
  <si>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</si>
  <si>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</si>
  <si>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</si>
  <si>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</si>
  <si>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</si>
  <si>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</si>
  <si>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</si>
  <si>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</si>
  <si>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</si>
  <si>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</si>
  <si>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</si>
  <si>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</si>
  <si>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</si>
  <si>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</si>
  <si>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</si>
  <si>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</si>
  <si>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</si>
  <si>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</si>
  <si>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</si>
  <si>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</si>
  <si>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</si>
  <si>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</si>
  <si>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</si>
  <si>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</si>
  <si>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</si>
  <si>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</si>
  <si>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</si>
  <si>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</si>
  <si>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</si>
  <si>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</si>
  <si>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</si>
  <si>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</si>
  <si>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</si>
  <si>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</si>
  <si>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</si>
  <si>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</si>
  <si>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</si>
  <si>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</si>
  <si>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</si>
  <si>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</si>
  <si>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</si>
  <si>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</si>
  <si>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</si>
  <si>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</si>
  <si>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</si>
  <si>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</si>
  <si>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</si>
  <si>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</si>
  <si>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</si>
  <si>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</si>
  <si>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</si>
  <si>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</si>
  <si>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</si>
  <si>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</si>
  <si>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</si>
  <si>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</si>
  <si>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</si>
  <si>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</si>
  <si>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</si>
  <si>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</si>
  <si>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</si>
  <si>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</si>
  <si>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</si>
  <si>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</si>
  <si>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</si>
  <si>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</si>
  <si>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</si>
  <si>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</si>
  <si>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</si>
  <si>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</si>
  <si>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</si>
  <si>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</si>
  <si>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</si>
  <si>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</si>
  <si>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</si>
  <si>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</si>
  <si>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</si>
  <si>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</si>
  <si>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</si>
  <si>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</si>
  <si>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</si>
  <si>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</si>
  <si>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</si>
  <si>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</si>
  <si>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</si>
  <si>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</si>
  <si>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</si>
  <si>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</si>
  <si>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</si>
  <si>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</si>
  <si>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</si>
  <si>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</si>
  <si>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</si>
  <si>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</si>
  <si>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</si>
  <si>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</si>
  <si>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</si>
  <si>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</si>
  <si>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</si>
  <si>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</si>
  <si>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</si>
  <si>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</si>
  <si>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</si>
  <si>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</si>
  <si>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</si>
  <si>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</si>
  <si>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</si>
  <si>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</si>
  <si>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</si>
  <si>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</si>
  <si>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</si>
  <si>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</si>
  <si>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</si>
  <si>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</si>
  <si>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</si>
  <si>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</si>
  <si>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</si>
  <si>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</si>
  <si>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</si>
  <si>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</si>
  <si>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</si>
  <si>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</si>
  <si>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</si>
  <si>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</si>
  <si>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</si>
  <si>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</si>
  <si>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</si>
  <si>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</si>
  <si>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</si>
  <si>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</si>
  <si>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</si>
  <si>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</si>
  <si>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</si>
  <si>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</si>
  <si>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</si>
  <si>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</si>
  <si>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</si>
  <si>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</si>
  <si>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</si>
  <si>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</si>
  <si>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</si>
  <si>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</si>
  <si>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</si>
  <si>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</si>
  <si>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</si>
  <si>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</si>
  <si>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</si>
  <si>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</si>
  <si>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</si>
  <si>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</si>
  <si>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</si>
  <si>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</si>
  <si>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</si>
  <si>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</si>
  <si>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</si>
  <si>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</si>
  <si>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</si>
  <si>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</si>
  <si>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</si>
  <si>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</si>
  <si>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</si>
  <si>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</si>
  <si>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</si>
  <si>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</si>
  <si>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</si>
  <si>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</si>
  <si>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</si>
  <si>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</si>
  <si>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</si>
  <si>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</si>
  <si>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</si>
  <si>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</si>
  <si>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</si>
  <si>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</si>
  <si>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</si>
  <si>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</si>
  <si>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</si>
  <si>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</si>
  <si>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</si>
  <si>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</si>
  <si>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</si>
  <si>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</si>
  <si>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</si>
  <si>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</si>
  <si>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</si>
  <si>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</si>
  <si>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</si>
  <si>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</si>
  <si>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</si>
  <si>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</si>
  <si>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</si>
  <si>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</si>
  <si>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</si>
  <si>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</si>
  <si>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</si>
  <si>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</si>
  <si>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</si>
  <si>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</si>
  <si>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</si>
  <si>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</si>
  <si>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</si>
  <si>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</si>
  <si>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</si>
  <si>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</si>
  <si>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</si>
  <si>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</si>
  <si>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</si>
  <si>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</si>
  <si>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</si>
  <si>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</si>
  <si>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</si>
  <si>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</si>
  <si>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</si>
  <si>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</si>
  <si>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</si>
  <si>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</si>
  <si>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</si>
  <si>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</si>
  <si>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</si>
  <si>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</si>
  <si>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</si>
  <si>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</si>
  <si>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</si>
  <si>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</si>
  <si>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</si>
  <si>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</si>
  <si>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</si>
  <si>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</si>
  <si>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Base Salary</t>
  </si>
  <si>
    <t>Total Sales</t>
  </si>
  <si>
    <t>Commision Rate</t>
  </si>
  <si>
    <t xml:space="preserve">Employee ID </t>
  </si>
  <si>
    <t>Commision</t>
  </si>
  <si>
    <t>Commision Plan</t>
  </si>
  <si>
    <t xml:space="preserve">Commission
Rates </t>
  </si>
  <si>
    <t>Commission
Total</t>
  </si>
  <si>
    <t>Total 
Sales</t>
  </si>
  <si>
    <t>Base Pay
(Salary)</t>
  </si>
  <si>
    <t>Gross
Sales</t>
  </si>
  <si>
    <t>Total
Pay</t>
  </si>
  <si>
    <t>Commission
Earned</t>
  </si>
  <si>
    <t>Draw 
Amount</t>
  </si>
  <si>
    <t>Recovery
Amount</t>
  </si>
  <si>
    <t>Commission
Payout</t>
  </si>
  <si>
    <t>Gross
Margin</t>
  </si>
  <si>
    <t>Commission Tiers</t>
  </si>
  <si>
    <t>Revenue Range</t>
  </si>
  <si>
    <t>Percentage</t>
  </si>
  <si>
    <t>Commission</t>
  </si>
  <si>
    <t>Row Labels</t>
  </si>
  <si>
    <t>Sum of Commission</t>
  </si>
  <si>
    <t>Commissions</t>
  </si>
  <si>
    <t>Total_Sales</t>
  </si>
  <si>
    <t>Count of 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</si>
</sst>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&quot;£&quot;* #,##0.0_-;\-&quot;£&quot;* #,##0.0_-;_-&quot;£&quot;* &quot;-&quot;??_-;_-@_-"/>
    <numFmt numFmtId="169" formatCode="_-&quot;£&quot;* #,##0_-;\-&quot;£&quot;* #,##0_-;_-&quot;£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2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Font="1"/>
    <xf numFmtId="0" fontId="4" fillId="2" borderId="0" xfId="0" applyFont="1" applyFill="1" applyBorder="1" applyAlignment="1">
      <alignment horizontal="center" vertical="top"/>
    </xf>
    <xf numFmtId="0" fontId="0" fillId="0" borderId="0" xfId="0" applyFill="1"/>
    <xf numFmtId="0" fontId="5" fillId="0" borderId="0" xfId="0" applyFont="1"/>
    <xf numFmtId="0" fontId="5" fillId="4" borderId="0" xfId="0" applyFont="1" applyFill="1"/>
    <xf numFmtId="9" fontId="5" fillId="4" borderId="0" xfId="0" applyNumberFormat="1" applyFont="1" applyFill="1"/>
    <xf numFmtId="0" fontId="7" fillId="0" borderId="1" xfId="0" applyFont="1" applyFill="1" applyBorder="1"/>
    <xf numFmtId="0" fontId="7" fillId="0" borderId="1" xfId="0" applyFont="1" applyBorder="1"/>
    <xf numFmtId="9" fontId="7" fillId="0" borderId="1" xfId="1" applyFont="1" applyBorder="1"/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0" borderId="0" xfId="0" applyFont="1" applyBorder="1"/>
    <xf numFmtId="9" fontId="7" fillId="0" borderId="0" xfId="1" applyFont="1" applyBorder="1"/>
    <xf numFmtId="0" fontId="0" fillId="4" borderId="0" xfId="0" applyFill="1"/>
    <xf numFmtId="168" fontId="5" fillId="4" borderId="0" xfId="0" applyNumberFormat="1" applyFont="1" applyFill="1"/>
    <xf numFmtId="169" fontId="5" fillId="4" borderId="0" xfId="0" applyNumberFormat="1" applyFont="1" applyFill="1"/>
    <xf numFmtId="9" fontId="0" fillId="0" borderId="1" xfId="0" applyNumberFormat="1" applyBorder="1"/>
    <xf numFmtId="169" fontId="0" fillId="0" borderId="1" xfId="0" applyNumberFormat="1" applyBorder="1"/>
    <xf numFmtId="0" fontId="3" fillId="3" borderId="0" xfId="0" applyFont="1" applyFill="1" applyAlignment="1">
      <alignment horizontal="center"/>
    </xf>
    <xf numFmtId="169" fontId="0" fillId="0" borderId="2" xfId="0" applyNumberFormat="1" applyBorder="1"/>
    <xf numFmtId="9" fontId="0" fillId="0" borderId="2" xfId="0" applyNumberFormat="1" applyBorder="1"/>
    <xf numFmtId="0" fontId="3" fillId="5" borderId="0" xfId="0" applyFont="1" applyFill="1" applyBorder="1" applyAlignment="1">
      <alignment horizontal="center"/>
    </xf>
    <xf numFmtId="0" fontId="3" fillId="5" borderId="0" xfId="0" applyFont="1" applyFill="1" applyBorder="1"/>
    <xf numFmtId="0" fontId="3" fillId="3" borderId="0" xfId="0" applyFont="1" applyFill="1"/>
    <xf numFmtId="169" fontId="0" fillId="0" borderId="0" xfId="0" applyNumberFormat="1"/>
    <xf numFmtId="0" fontId="0" fillId="0" borderId="1" xfId="0" applyBorder="1"/>
    <xf numFmtId="169" fontId="4" fillId="2" borderId="0" xfId="0" applyNumberFormat="1" applyFont="1" applyFill="1" applyAlignment="1">
      <alignment horizontal="center" vertical="top"/>
    </xf>
    <xf numFmtId="169" fontId="8" fillId="2" borderId="0" xfId="0" applyNumberFormat="1" applyFont="1" applyFill="1" applyAlignment="1">
      <alignment horizontal="center" vertical="top"/>
    </xf>
    <xf numFmtId="169" fontId="4" fillId="2" borderId="0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169" formatCode="_-&quot;£&quot;* #,##0_-;\-&quot;£&quot;* #,##0_-;_-&quot;£&quot;* &quot;-&quot;??_-;_-@_-"/>
    </dxf>
    <dxf>
      <numFmt numFmtId="169" formatCode="_-&quot;£&quot;* #,##0_-;\-&quot;£&quot;* #,##0_-;_-&quot;£&quot;* &quot;-&quot;??_-;_-@_-"/>
    </dxf>
    <dxf>
      <numFmt numFmtId="169" formatCode="_-&quot;£&quot;* #,##0_-;\-&quot;£&quot;* #,##0_-;_-&quot;£&quot;* &quot;-&quot;??_-;_-@_-"/>
    </dxf>
    <dxf>
      <numFmt numFmtId="169" formatCode="_-&quot;£&quot;* #,##0_-;\-&quot;£&quot;* #,##0_-;_-&quot;£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scheme val="none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AF423F"/>
      <color rgb="FF654236"/>
      <color rgb="FFE9E6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commision Analysis.xlsx]Pivot!PivotTable1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Commisions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square"/>
          <c:size val="7"/>
          <c:spPr>
            <a:solidFill>
              <a:schemeClr val="accent1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783573470431026E-2"/>
          <c:y val="3.5991806131694969E-2"/>
          <c:w val="0.81967522423378458"/>
          <c:h val="0.7539525933551963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Pivot!$C$3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5"/>
                <c:pt idx="0">
                  <c:v>Agriculture</c:v>
                </c:pt>
                <c:pt idx="1">
                  <c:v>Electronics</c:v>
                </c:pt>
                <c:pt idx="2">
                  <c:v>Furniture</c:v>
                </c:pt>
                <c:pt idx="3">
                  <c:v>Industrial</c:v>
                </c:pt>
                <c:pt idx="4">
                  <c:v>Tools</c:v>
                </c:pt>
              </c:strCache>
            </c:strRef>
          </c:cat>
          <c:val>
            <c:numRef>
              <c:f>Pivot!$C$4:$C$8</c:f>
              <c:numCache>
                <c:formatCode>_-"£"* #,##0_-;\-"£"* #,##0_-;_-"£"* "-"??_-;_-@_-</c:formatCode>
                <c:ptCount val="5"/>
                <c:pt idx="0">
                  <c:v>12317560</c:v>
                </c:pt>
                <c:pt idx="1">
                  <c:v>6233420</c:v>
                </c:pt>
                <c:pt idx="2">
                  <c:v>8716580</c:v>
                </c:pt>
                <c:pt idx="3">
                  <c:v>5485550</c:v>
                </c:pt>
                <c:pt idx="4">
                  <c:v>4466420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7-48C9-BBE6-51275E72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7013039"/>
        <c:axId val="1116991919"/>
      </c:barChart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Commissions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Pivot!$A$4:$A$8</c:f>
              <c:strCache>
                <c:ptCount val="5"/>
                <c:pt idx="0">
                  <c:v>Agriculture</c:v>
                </c:pt>
                <c:pt idx="1">
                  <c:v>Electronics</c:v>
                </c:pt>
                <c:pt idx="2">
                  <c:v>Furniture</c:v>
                </c:pt>
                <c:pt idx="3">
                  <c:v>Industrial</c:v>
                </c:pt>
                <c:pt idx="4">
                  <c:v>Tools</c:v>
                </c:pt>
              </c:strCache>
            </c:strRef>
          </c:cat>
          <c:val>
            <c:numRef>
              <c:f>Pivot!$B$4:$B$8</c:f>
              <c:numCache>
                <c:formatCode>_-"£"* #,##0_-;\-"£"* #,##0_-;_-"£"* "-"??_-;_-@_-</c:formatCode>
                <c:ptCount val="5"/>
                <c:pt idx="0">
                  <c:v>387974.16666666669</c:v>
                </c:pt>
                <c:pt idx="1">
                  <c:v>236628.60666666666</c:v>
                </c:pt>
                <c:pt idx="2">
                  <c:v>303856.42000000004</c:v>
                </c:pt>
                <c:pt idx="3">
                  <c:v>214938.16</c:v>
                </c:pt>
                <c:pt idx="4">
                  <c:v>102761.26666666666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7-48C9-BBE6-51275E72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085023"/>
        <c:axId val="1327082143"/>
      </c:lineChart>
      <c:catAx>
        <c:axId val="11170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91919"/>
        <c:crosses val="autoZero"/>
        <c:auto val="1"/>
        <c:lblAlgn val="ctr"/>
        <c:lblOffset val="100"/>
        <c:noMultiLvlLbl val="0"/>
      </c:catAx>
      <c:valAx>
        <c:axId val="1116991919"/>
        <c:scaling>
          <c:orientation val="minMax"/>
        </c:scaling>
        <c:delete val="0"/>
        <c:axPos val="l"/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13039"/>
        <c:crosses val="autoZero"/>
        <c:crossBetween val="between"/>
      </c:valAx>
      <c:valAx>
        <c:axId val="1327082143"/>
        <c:scaling>
          <c:orientation val="minMax"/>
        </c:scaling>
        <c:delete val="0"/>
        <c:axPos val="r"/>
        <c:numFmt formatCode="_-&quot;£&quot;* #,##0_-;\-&quot;£&quot;* #,##0_-;_-&quot;£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85023"/>
        <c:crosses val="max"/>
        <c:crossBetween val="between"/>
      </c:valAx>
      <c:catAx>
        <c:axId val="132708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7082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commision Analysis.xlsx]Pivot!PivotTable2</c:name>
    <c:fmtId val="12"/>
  </c:pivotSource>
  <c:chart>
    <c:autoTitleDeleted val="0"/>
    <c:pivotFmts>
      <c:pivotFmt>
        <c:idx val="0"/>
        <c:spPr>
          <a:solidFill>
            <a:srgbClr val="AF4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triangle"/>
          <c:size val="8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Commissions</c:v>
                </c:pt>
              </c:strCache>
            </c:strRef>
          </c:tx>
          <c:spPr>
            <a:solidFill>
              <a:srgbClr val="AF423F"/>
            </a:solidFill>
            <a:ln>
              <a:noFill/>
            </a:ln>
            <a:effectLst/>
          </c:spPr>
          <c:invertIfNegative val="0"/>
          <c:cat>
            <c:strRef>
              <c:f>Pivot!$A$24:$A$29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Pivot!$B$24:$B$29</c:f>
              <c:numCache>
                <c:formatCode>_-"£"* #,##0_-;\-"£"* #,##0_-;_-"£"* "-"??_-;_-@_-</c:formatCode>
                <c:ptCount val="6"/>
                <c:pt idx="0">
                  <c:v>195574.09999999998</c:v>
                </c:pt>
                <c:pt idx="1">
                  <c:v>59798.44</c:v>
                </c:pt>
                <c:pt idx="2">
                  <c:v>356468.60000000003</c:v>
                </c:pt>
                <c:pt idx="3">
                  <c:v>262327.2</c:v>
                </c:pt>
                <c:pt idx="4">
                  <c:v>225966.76</c:v>
                </c:pt>
                <c:pt idx="5">
                  <c:v>146023.52000000002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F-4F12-BE29-C640F4682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3722207"/>
        <c:axId val="1413725087"/>
      </c:barChart>
      <c:lineChart>
        <c:grouping val="standard"/>
        <c:varyColors val="0"/>
        <c:ser>
          <c:idx val="1"/>
          <c:order val="1"/>
          <c:tx>
            <c:strRef>
              <c:f>Pivot!$C$23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Pivot!$A$24:$A$29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Pivot!$C$24:$C$29</c:f>
              <c:numCache>
                <c:formatCode>_-"£"* #,##0_-;\-"£"* #,##0_-;_-"£"* "-"??_-;_-@_-</c:formatCode>
                <c:ptCount val="6"/>
                <c:pt idx="0">
                  <c:v>6625170</c:v>
                </c:pt>
                <c:pt idx="1">
                  <c:v>1846100</c:v>
                </c:pt>
                <c:pt idx="2">
                  <c:v>9732490</c:v>
                </c:pt>
                <c:pt idx="3">
                  <c:v>9067330</c:v>
                </c:pt>
                <c:pt idx="4">
                  <c:v>5997680</c:v>
                </c:pt>
                <c:pt idx="5">
                  <c:v>3950760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F-4F12-BE29-C640F4682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487023"/>
        <c:axId val="1334487503"/>
      </c:lineChart>
      <c:catAx>
        <c:axId val="13344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7503"/>
        <c:crosses val="autoZero"/>
        <c:auto val="1"/>
        <c:lblAlgn val="ctr"/>
        <c:lblOffset val="100"/>
        <c:noMultiLvlLbl val="0"/>
      </c:catAx>
      <c:valAx>
        <c:axId val="1334487503"/>
        <c:scaling>
          <c:orientation val="minMax"/>
        </c:scaling>
        <c:delete val="0"/>
        <c:axPos val="l"/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7023"/>
        <c:crosses val="autoZero"/>
        <c:crossBetween val="between"/>
      </c:valAx>
      <c:valAx>
        <c:axId val="1413725087"/>
        <c:scaling>
          <c:orientation val="minMax"/>
        </c:scaling>
        <c:delete val="0"/>
        <c:axPos val="r"/>
        <c:numFmt formatCode="_-&quot;£&quot;* #,##0_-;\-&quot;£&quot;* #,##0_-;_-&quot;£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22207"/>
        <c:crosses val="max"/>
        <c:crossBetween val="between"/>
      </c:valAx>
      <c:catAx>
        <c:axId val="141372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37250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commision Analysis.xlsx]Pivot!PivotTable1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Commisions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square"/>
          <c:size val="7"/>
          <c:spPr>
            <a:solidFill>
              <a:schemeClr val="accent1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square"/>
          <c:size val="7"/>
          <c:spPr>
            <a:solidFill>
              <a:schemeClr val="accent1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square"/>
          <c:size val="7"/>
          <c:spPr>
            <a:solidFill>
              <a:schemeClr val="accent1"/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783573470431026E-2"/>
          <c:y val="3.5991806131694969E-2"/>
          <c:w val="0.81967522423378458"/>
          <c:h val="0.7539525933551963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Pivot!$C$3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5"/>
                <c:pt idx="0">
                  <c:v>Agriculture</c:v>
                </c:pt>
                <c:pt idx="1">
                  <c:v>Electronics</c:v>
                </c:pt>
                <c:pt idx="2">
                  <c:v>Furniture</c:v>
                </c:pt>
                <c:pt idx="3">
                  <c:v>Industrial</c:v>
                </c:pt>
                <c:pt idx="4">
                  <c:v>Tools</c:v>
                </c:pt>
              </c:strCache>
            </c:strRef>
          </c:cat>
          <c:val>
            <c:numRef>
              <c:f>Pivot!$C$4:$C$8</c:f>
              <c:numCache>
                <c:formatCode>_-"£"* #,##0_-;\-"£"* #,##0_-;_-"£"* "-"??_-;_-@_-</c:formatCode>
                <c:ptCount val="5"/>
                <c:pt idx="0">
                  <c:v>12317560</c:v>
                </c:pt>
                <c:pt idx="1">
                  <c:v>6233420</c:v>
                </c:pt>
                <c:pt idx="2">
                  <c:v>8716580</c:v>
                </c:pt>
                <c:pt idx="3">
                  <c:v>5485550</c:v>
                </c:pt>
                <c:pt idx="4">
                  <c:v>4466420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F-47DB-AD42-BC3A1A37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7013039"/>
        <c:axId val="1116991919"/>
      </c:barChart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Commissions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Pivot!$A$4:$A$8</c:f>
              <c:strCache>
                <c:ptCount val="5"/>
                <c:pt idx="0">
                  <c:v>Agriculture</c:v>
                </c:pt>
                <c:pt idx="1">
                  <c:v>Electronics</c:v>
                </c:pt>
                <c:pt idx="2">
                  <c:v>Furniture</c:v>
                </c:pt>
                <c:pt idx="3">
                  <c:v>Industrial</c:v>
                </c:pt>
                <c:pt idx="4">
                  <c:v>Tools</c:v>
                </c:pt>
              </c:strCache>
            </c:strRef>
          </c:cat>
          <c:val>
            <c:numRef>
              <c:f>Pivot!$B$4:$B$8</c:f>
              <c:numCache>
                <c:formatCode>_-"£"* #,##0_-;\-"£"* #,##0_-;_-"£"* "-"??_-;_-@_-</c:formatCode>
                <c:ptCount val="5"/>
                <c:pt idx="0">
                  <c:v>387974.16666666669</c:v>
                </c:pt>
                <c:pt idx="1">
                  <c:v>236628.60666666666</c:v>
                </c:pt>
                <c:pt idx="2">
                  <c:v>303856.42000000004</c:v>
                </c:pt>
                <c:pt idx="3">
                  <c:v>214938.16</c:v>
                </c:pt>
                <c:pt idx="4">
                  <c:v>102761.26666666666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F-47DB-AD42-BC3A1A37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085023"/>
        <c:axId val="1327082143"/>
      </c:lineChart>
      <c:catAx>
        <c:axId val="11170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91919"/>
        <c:crosses val="autoZero"/>
        <c:auto val="1"/>
        <c:lblAlgn val="ctr"/>
        <c:lblOffset val="100"/>
        <c:noMultiLvlLbl val="0"/>
      </c:catAx>
      <c:valAx>
        <c:axId val="1116991919"/>
        <c:scaling>
          <c:orientation val="minMax"/>
        </c:scaling>
        <c:delete val="0"/>
        <c:axPos val="l"/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13039"/>
        <c:crosses val="autoZero"/>
        <c:crossBetween val="between"/>
      </c:valAx>
      <c:valAx>
        <c:axId val="1327082143"/>
        <c:scaling>
          <c:orientation val="minMax"/>
        </c:scaling>
        <c:delete val="0"/>
        <c:axPos val="r"/>
        <c:numFmt formatCode="_-&quot;£&quot;* #,##0_-;\-&quot;£&quot;* #,##0_-;_-&quot;£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85023"/>
        <c:crosses val="max"/>
        <c:crossBetween val="between"/>
      </c:valAx>
      <c:catAx>
        <c:axId val="132708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7082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commision Analysis.xlsx]Pivot!PivotTable2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Payout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F4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triangle"/>
          <c:size val="8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F4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triangle"/>
          <c:size val="8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F42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triangle"/>
          <c:size val="8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Commissions</c:v>
                </c:pt>
              </c:strCache>
            </c:strRef>
          </c:tx>
          <c:spPr>
            <a:solidFill>
              <a:srgbClr val="AF423F"/>
            </a:solidFill>
            <a:ln>
              <a:noFill/>
            </a:ln>
            <a:effectLst/>
          </c:spPr>
          <c:invertIfNegative val="0"/>
          <c:cat>
            <c:strRef>
              <c:f>Pivot!$A$24:$A$29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Pivot!$B$24:$B$29</c:f>
              <c:numCache>
                <c:formatCode>_-"£"* #,##0_-;\-"£"* #,##0_-;_-"£"* "-"??_-;_-@_-</c:formatCode>
                <c:ptCount val="6"/>
                <c:pt idx="0">
                  <c:v>195574.09999999998</c:v>
                </c:pt>
                <c:pt idx="1">
                  <c:v>59798.44</c:v>
                </c:pt>
                <c:pt idx="2">
                  <c:v>356468.60000000003</c:v>
                </c:pt>
                <c:pt idx="3">
                  <c:v>262327.2</c:v>
                </c:pt>
                <c:pt idx="4">
                  <c:v>225966.76</c:v>
                </c:pt>
                <c:pt idx="5">
                  <c:v>146023.52000000002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4-457A-8DAA-DDDEB9458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3722207"/>
        <c:axId val="1413725087"/>
      </c:barChart>
      <c:lineChart>
        <c:grouping val="standard"/>
        <c:varyColors val="0"/>
        <c:ser>
          <c:idx val="1"/>
          <c:order val="1"/>
          <c:tx>
            <c:strRef>
              <c:f>Pivot!$C$23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Pivot!$A$24:$A$29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Pivot!$C$24:$C$29</c:f>
              <c:numCache>
                <c:formatCode>_-"£"* #,##0_-;\-"£"* #,##0_-;_-"£"* "-"??_-;_-@_-</c:formatCode>
                <c:ptCount val="6"/>
                <c:pt idx="0">
                  <c:v>6625170</c:v>
                </c:pt>
                <c:pt idx="1">
                  <c:v>1846100</c:v>
                </c:pt>
                <c:pt idx="2">
                  <c:v>9732490</c:v>
                </c:pt>
                <c:pt idx="3">
                  <c:v>9067330</c:v>
                </c:pt>
                <c:pt idx="4">
                  <c:v>5997680</c:v>
                </c:pt>
                <c:pt idx="5">
                  <c:v>3950760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4-457A-8DAA-DDDEB9458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487023"/>
        <c:axId val="1334487503"/>
      </c:lineChart>
      <c:catAx>
        <c:axId val="133448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7503"/>
        <c:crosses val="autoZero"/>
        <c:auto val="1"/>
        <c:lblAlgn val="ctr"/>
        <c:lblOffset val="100"/>
        <c:noMultiLvlLbl val="0"/>
      </c:catAx>
      <c:valAx>
        <c:axId val="1334487503"/>
        <c:scaling>
          <c:orientation val="minMax"/>
        </c:scaling>
        <c:delete val="0"/>
        <c:axPos val="l"/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7023"/>
        <c:crosses val="autoZero"/>
        <c:crossBetween val="between"/>
      </c:valAx>
      <c:valAx>
        <c:axId val="1413725087"/>
        <c:scaling>
          <c:orientation val="minMax"/>
        </c:scaling>
        <c:delete val="0"/>
        <c:axPos val="r"/>
        <c:numFmt formatCode="_-&quot;£&quot;* #,##0_-;\-&quot;£&quot;* #,##0_-;_-&quot;£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22207"/>
        <c:crosses val="max"/>
        <c:crossBetween val="between"/>
      </c:valAx>
      <c:catAx>
        <c:axId val="141372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3725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Payout by commission plan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Payout by commission plan</a:t>
          </a:r>
        </a:p>
      </cx:txPr>
    </cx:title>
    <cx:plotArea>
      <cx:plotAreaRegion>
        <cx:series layoutId="treemap" uniqueId="{044A5210-EC22-4BF7-ACAA-E0F8CE1ADA38}">
          <cx:tx>
            <cx:txData>
              <cx:f>_xlchart.v1.1</cx:f>
              <cx:v>Commissions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Payout by commission plan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Payout by commission plan</a:t>
          </a:r>
        </a:p>
      </cx:txPr>
    </cx:title>
    <cx:plotArea>
      <cx:plotAreaRegion>
        <cx:series layoutId="treemap" uniqueId="{044A5210-EC22-4BF7-ACAA-E0F8CE1ADA38}">
          <cx:tx>
            <cx:txData>
              <cx:f>_xlchart.v1.7</cx:f>
              <cx:v>Commissions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42861</xdr:rowOff>
    </xdr:from>
    <xdr:to>
      <xdr:col>19</xdr:col>
      <xdr:colOff>85724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245A0-BC06-A010-92D8-01C9652E9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4761</xdr:colOff>
      <xdr:row>24</xdr:row>
      <xdr:rowOff>176212</xdr:rowOff>
    </xdr:from>
    <xdr:to>
      <xdr:col>17</xdr:col>
      <xdr:colOff>485774</xdr:colOff>
      <xdr:row>41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C7B96-BC59-5CAC-80C6-7CC50D705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604836</xdr:colOff>
      <xdr:row>46</xdr:row>
      <xdr:rowOff>19050</xdr:rowOff>
    </xdr:from>
    <xdr:to>
      <xdr:col>16</xdr:col>
      <xdr:colOff>285749</xdr:colOff>
      <xdr:row>58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DC21633-5155-B587-4149-FA70D79BD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8811" y="8782050"/>
              <a:ext cx="5776913" cy="2328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114300</xdr:rowOff>
    </xdr:from>
    <xdr:to>
      <xdr:col>23</xdr:col>
      <xdr:colOff>152399</xdr:colOff>
      <xdr:row>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90EAD2-954D-23A6-4D63-9A1AA7CC8FAE}"/>
            </a:ext>
          </a:extLst>
        </xdr:cNvPr>
        <xdr:cNvSpPr/>
      </xdr:nvSpPr>
      <xdr:spPr>
        <a:xfrm>
          <a:off x="285750" y="114300"/>
          <a:ext cx="13887449" cy="800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485775</xdr:colOff>
      <xdr:row>0</xdr:row>
      <xdr:rowOff>161925</xdr:rowOff>
    </xdr:from>
    <xdr:ext cx="4509120" cy="5699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805651-AD02-6C3B-46E2-82E9F2A73337}"/>
            </a:ext>
          </a:extLst>
        </xdr:cNvPr>
        <xdr:cNvSpPr txBox="1"/>
      </xdr:nvSpPr>
      <xdr:spPr>
        <a:xfrm>
          <a:off x="4143375" y="161925"/>
          <a:ext cx="4509120" cy="5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chemeClr val="bg1"/>
              </a:solidFill>
              <a:latin typeface="Segoe UI Variable Small Semibol" pitchFamily="2" charset="0"/>
            </a:rPr>
            <a:t>Sales and Payout Analysis</a:t>
          </a:r>
        </a:p>
      </xdr:txBody>
    </xdr:sp>
    <xdr:clientData/>
  </xdr:oneCellAnchor>
  <xdr:twoCellAnchor>
    <xdr:from>
      <xdr:col>0</xdr:col>
      <xdr:colOff>276225</xdr:colOff>
      <xdr:row>4</xdr:row>
      <xdr:rowOff>161925</xdr:rowOff>
    </xdr:from>
    <xdr:to>
      <xdr:col>23</xdr:col>
      <xdr:colOff>152399</xdr:colOff>
      <xdr:row>35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AD5FE7-9C36-1932-03E4-F9150A11BAA2}"/>
            </a:ext>
          </a:extLst>
        </xdr:cNvPr>
        <xdr:cNvSpPr/>
      </xdr:nvSpPr>
      <xdr:spPr>
        <a:xfrm>
          <a:off x="276225" y="923925"/>
          <a:ext cx="13896974" cy="5753100"/>
        </a:xfrm>
        <a:prstGeom prst="rect">
          <a:avLst/>
        </a:prstGeom>
        <a:solidFill>
          <a:srgbClr val="E9E6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501868</xdr:colOff>
      <xdr:row>8</xdr:row>
      <xdr:rowOff>36461</xdr:rowOff>
    </xdr:from>
    <xdr:ext cx="298672" cy="646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46E46A-E988-6C8B-FE07-E72A4678F9B4}"/>
            </a:ext>
          </a:extLst>
        </xdr:cNvPr>
        <xdr:cNvSpPr txBox="1"/>
      </xdr:nvSpPr>
      <xdr:spPr>
        <a:xfrm>
          <a:off x="1111468" y="1560461"/>
          <a:ext cx="298672" cy="646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endParaRPr lang="en-US" sz="3200" b="1">
            <a:solidFill>
              <a:srgbClr val="654236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oneCellAnchor>
    <xdr:from>
      <xdr:col>2</xdr:col>
      <xdr:colOff>120868</xdr:colOff>
      <xdr:row>9</xdr:row>
      <xdr:rowOff>7886</xdr:rowOff>
    </xdr:from>
    <xdr:ext cx="184731" cy="36522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9DABD25-CE0E-9297-1EB7-126A9FC7FCAB}"/>
            </a:ext>
          </a:extLst>
        </xdr:cNvPr>
        <xdr:cNvSpPr txBox="1"/>
      </xdr:nvSpPr>
      <xdr:spPr>
        <a:xfrm>
          <a:off x="1340068" y="1722386"/>
          <a:ext cx="184731" cy="3652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654236"/>
            </a:solidFill>
            <a:latin typeface="Segoe UI Variable Small Semibol" pitchFamily="2" charset="0"/>
          </a:endParaRPr>
        </a:p>
      </xdr:txBody>
    </xdr:sp>
    <xdr:clientData/>
  </xdr:oneCellAnchor>
  <xdr:oneCellAnchor>
    <xdr:from>
      <xdr:col>2</xdr:col>
      <xdr:colOff>139918</xdr:colOff>
      <xdr:row>9</xdr:row>
      <xdr:rowOff>122186</xdr:rowOff>
    </xdr:from>
    <xdr:ext cx="1222157" cy="36522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7FFAA3-6DFE-B32B-A292-409962ECB108}"/>
            </a:ext>
          </a:extLst>
        </xdr:cNvPr>
        <xdr:cNvSpPr txBox="1"/>
      </xdr:nvSpPr>
      <xdr:spPr>
        <a:xfrm>
          <a:off x="1359118" y="1836686"/>
          <a:ext cx="1222157" cy="3652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600" b="1">
            <a:solidFill>
              <a:srgbClr val="654236"/>
            </a:solidFill>
            <a:latin typeface="Segoe UI Variable Small Semibol" pitchFamily="2" charset="0"/>
          </a:endParaRPr>
        </a:p>
      </xdr:txBody>
    </xdr:sp>
    <xdr:clientData/>
  </xdr:oneCellAnchor>
  <xdr:twoCellAnchor>
    <xdr:from>
      <xdr:col>1</xdr:col>
      <xdr:colOff>66673</xdr:colOff>
      <xdr:row>16</xdr:row>
      <xdr:rowOff>142875</xdr:rowOff>
    </xdr:from>
    <xdr:to>
      <xdr:col>11</xdr:col>
      <xdr:colOff>542924</xdr:colOff>
      <xdr:row>34</xdr:row>
      <xdr:rowOff>114301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EC3EFEC-667F-187E-EECB-504648D61C63}"/>
            </a:ext>
          </a:extLst>
        </xdr:cNvPr>
        <xdr:cNvSpPr/>
      </xdr:nvSpPr>
      <xdr:spPr>
        <a:xfrm>
          <a:off x="676273" y="3190875"/>
          <a:ext cx="6572251" cy="340042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247651</xdr:colOff>
      <xdr:row>18</xdr:row>
      <xdr:rowOff>47625</xdr:rowOff>
    </xdr:from>
    <xdr:to>
      <xdr:col>11</xdr:col>
      <xdr:colOff>219075</xdr:colOff>
      <xdr:row>33</xdr:row>
      <xdr:rowOff>66675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521F998-FF54-42FE-8F6A-015A29362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247648</xdr:colOff>
      <xdr:row>17</xdr:row>
      <xdr:rowOff>0</xdr:rowOff>
    </xdr:from>
    <xdr:to>
      <xdr:col>23</xdr:col>
      <xdr:colOff>114299</xdr:colOff>
      <xdr:row>34</xdr:row>
      <xdr:rowOff>161926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60AD327-AB1F-A293-F1E6-9A6D4F996CE3}"/>
            </a:ext>
          </a:extLst>
        </xdr:cNvPr>
        <xdr:cNvSpPr/>
      </xdr:nvSpPr>
      <xdr:spPr>
        <a:xfrm>
          <a:off x="7562848" y="3238500"/>
          <a:ext cx="6572251" cy="340042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285749</xdr:colOff>
      <xdr:row>17</xdr:row>
      <xdr:rowOff>142876</xdr:rowOff>
    </xdr:from>
    <xdr:to>
      <xdr:col>22</xdr:col>
      <xdr:colOff>590551</xdr:colOff>
      <xdr:row>33</xdr:row>
      <xdr:rowOff>47626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317968C-C246-45A4-94A5-FB0C8FC4C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347012</xdr:colOff>
      <xdr:row>7</xdr:row>
      <xdr:rowOff>135712</xdr:rowOff>
    </xdr:from>
    <xdr:to>
      <xdr:col>4</xdr:col>
      <xdr:colOff>187690</xdr:colOff>
      <xdr:row>12</xdr:row>
      <xdr:rowOff>63773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40378254-DD1E-2BCC-6223-804D868B161B}"/>
            </a:ext>
          </a:extLst>
        </xdr:cNvPr>
        <xdr:cNvGrpSpPr/>
      </xdr:nvGrpSpPr>
      <xdr:grpSpPr>
        <a:xfrm>
          <a:off x="347012" y="1496426"/>
          <a:ext cx="2289964" cy="900000"/>
          <a:chOff x="413687" y="1304925"/>
          <a:chExt cx="2279078" cy="1165632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541BA83-A3DF-77C7-6E80-A0CF3C2BE0E1}"/>
              </a:ext>
            </a:extLst>
          </xdr:cNvPr>
          <xdr:cNvSpPr/>
        </xdr:nvSpPr>
        <xdr:spPr>
          <a:xfrm>
            <a:off x="413687" y="1304925"/>
            <a:ext cx="2279078" cy="1123950"/>
          </a:xfrm>
          <a:prstGeom prst="roundRect">
            <a:avLst>
              <a:gd name="adj" fmla="val 50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Pivot!B32">
        <xdr:nvSpPr>
          <xdr:cNvPr id="14" name="TextBox 13">
            <a:extLst>
              <a:ext uri="{FF2B5EF4-FFF2-40B4-BE49-F238E27FC236}">
                <a16:creationId xmlns:a16="http://schemas.microsoft.com/office/drawing/2014/main" id="{0DB27715-CFFF-D45F-621D-F45D63F9B7B3}"/>
              </a:ext>
            </a:extLst>
          </xdr:cNvPr>
          <xdr:cNvSpPr txBox="1"/>
        </xdr:nvSpPr>
        <xdr:spPr>
          <a:xfrm>
            <a:off x="500714" y="1841906"/>
            <a:ext cx="2105024" cy="6286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19D4A923-5F0F-4CDD-9E98-7ECD526654A1}" type="TxLink">
              <a:rPr lang="en-US" sz="2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 £37,219,530 </a:t>
            </a:fld>
            <a:endPara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31FE213E-153F-DA32-9856-009F47EB6A7C}"/>
              </a:ext>
            </a:extLst>
          </xdr:cNvPr>
          <xdr:cNvGrpSpPr/>
        </xdr:nvGrpSpPr>
        <xdr:grpSpPr>
          <a:xfrm>
            <a:off x="810625" y="1313631"/>
            <a:ext cx="1485202" cy="381000"/>
            <a:chOff x="1943101" y="1275531"/>
            <a:chExt cx="1526956" cy="381000"/>
          </a:xfrm>
        </xdr:grpSpPr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3C5F37D-5643-8AB2-878D-886A564074F2}"/>
                </a:ext>
              </a:extLst>
            </xdr:cNvPr>
            <xdr:cNvSpPr txBox="1"/>
          </xdr:nvSpPr>
          <xdr:spPr>
            <a:xfrm>
              <a:off x="2254468" y="1283417"/>
              <a:ext cx="1215589" cy="365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600" b="1">
                  <a:solidFill>
                    <a:srgbClr val="654236"/>
                  </a:solidFill>
                  <a:latin typeface="Segoe UI Variable Small Semibol" pitchFamily="2" charset="0"/>
                </a:rPr>
                <a:t>Total</a:t>
              </a:r>
              <a:r>
                <a:rPr lang="en-US" sz="1600" b="1" baseline="0">
                  <a:solidFill>
                    <a:srgbClr val="654236"/>
                  </a:solidFill>
                  <a:latin typeface="Segoe UI Variable Small Semibol" pitchFamily="2" charset="0"/>
                </a:rPr>
                <a:t> Sales</a:t>
              </a:r>
              <a:endParaRPr lang="en-US" sz="1600" b="1">
                <a:solidFill>
                  <a:srgbClr val="654236"/>
                </a:solidFill>
                <a:latin typeface="Segoe UI Variable Small Semibol" pitchFamily="2" charset="0"/>
              </a:endParaRPr>
            </a:p>
          </xdr:txBody>
        </xdr:sp>
        <xdr:pic>
          <xdr:nvPicPr>
            <xdr:cNvPr id="30" name="Graphic 29" descr="Coins with solid fill">
              <a:extLst>
                <a:ext uri="{FF2B5EF4-FFF2-40B4-BE49-F238E27FC236}">
                  <a16:creationId xmlns:a16="http://schemas.microsoft.com/office/drawing/2014/main" id="{E72D0B3C-7E56-46E0-7CA2-CDE9B447D2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943101" y="1275531"/>
              <a:ext cx="381000" cy="381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8</xdr:col>
      <xdr:colOff>133351</xdr:colOff>
      <xdr:row>7</xdr:row>
      <xdr:rowOff>126187</xdr:rowOff>
    </xdr:from>
    <xdr:to>
      <xdr:col>11</xdr:col>
      <xdr:colOff>564386</xdr:colOff>
      <xdr:row>12</xdr:row>
      <xdr:rowOff>54248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E093005C-0750-01DE-84E1-401D2F7578EF}"/>
            </a:ext>
          </a:extLst>
        </xdr:cNvPr>
        <xdr:cNvGrpSpPr/>
      </xdr:nvGrpSpPr>
      <xdr:grpSpPr>
        <a:xfrm>
          <a:off x="5031922" y="1486901"/>
          <a:ext cx="2268000" cy="900000"/>
          <a:chOff x="5076826" y="1259662"/>
          <a:chExt cx="2333624" cy="1153744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7CA42C17-8841-32B6-4C05-008F556CBC91}"/>
              </a:ext>
            </a:extLst>
          </xdr:cNvPr>
          <xdr:cNvSpPr/>
        </xdr:nvSpPr>
        <xdr:spPr>
          <a:xfrm>
            <a:off x="5076826" y="1273988"/>
            <a:ext cx="2333624" cy="1123950"/>
          </a:xfrm>
          <a:prstGeom prst="roundRect">
            <a:avLst>
              <a:gd name="adj" fmla="val 50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Pivot!B35">
        <xdr:nvSpPr>
          <xdr:cNvPr id="20" name="TextBox 19">
            <a:extLst>
              <a:ext uri="{FF2B5EF4-FFF2-40B4-BE49-F238E27FC236}">
                <a16:creationId xmlns:a16="http://schemas.microsoft.com/office/drawing/2014/main" id="{ABFF5212-3FD7-CF0D-4E97-32ED4BAA0C50}"/>
              </a:ext>
            </a:extLst>
          </xdr:cNvPr>
          <xdr:cNvSpPr txBox="1"/>
        </xdr:nvSpPr>
        <xdr:spPr>
          <a:xfrm>
            <a:off x="5263751" y="1822856"/>
            <a:ext cx="1959775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EBD99FE-0B8A-4F9B-9502-BA060DAAD617}" type="TxLink">
              <a:rPr lang="en-US" sz="2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 £1,246,159 </a:t>
            </a:fld>
            <a:endPara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1A2D56FE-45D7-74FB-3A13-5E68BF1C539B}"/>
              </a:ext>
            </a:extLst>
          </xdr:cNvPr>
          <xdr:cNvGrpSpPr/>
        </xdr:nvGrpSpPr>
        <xdr:grpSpPr>
          <a:xfrm>
            <a:off x="5339078" y="1259662"/>
            <a:ext cx="1809120" cy="450075"/>
            <a:chOff x="11075175" y="1223924"/>
            <a:chExt cx="1816505" cy="450075"/>
          </a:xfrm>
        </xdr:grpSpPr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F408368-B6CA-BD2B-9BE4-1009A732CB3B}"/>
                </a:ext>
              </a:extLst>
            </xdr:cNvPr>
            <xdr:cNvSpPr txBox="1"/>
          </xdr:nvSpPr>
          <xdr:spPr>
            <a:xfrm>
              <a:off x="11492323" y="1275872"/>
              <a:ext cx="1399357" cy="365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600" b="1">
                  <a:solidFill>
                    <a:srgbClr val="654236"/>
                  </a:solidFill>
                  <a:latin typeface="Segoe UI Variable Small Semibol" pitchFamily="2" charset="0"/>
                </a:rPr>
                <a:t>Total</a:t>
              </a:r>
              <a:r>
                <a:rPr lang="en-US" sz="1600" b="1" baseline="0">
                  <a:solidFill>
                    <a:srgbClr val="654236"/>
                  </a:solidFill>
                  <a:latin typeface="Segoe UI Variable Small Semibol" pitchFamily="2" charset="0"/>
                </a:rPr>
                <a:t> Payout</a:t>
              </a:r>
              <a:endParaRPr lang="en-US" sz="1600" b="1">
                <a:solidFill>
                  <a:srgbClr val="654236"/>
                </a:solidFill>
                <a:latin typeface="Segoe UI Variable Small Semibol" pitchFamily="2" charset="0"/>
              </a:endParaRPr>
            </a:p>
          </xdr:txBody>
        </xdr:sp>
        <xdr:pic>
          <xdr:nvPicPr>
            <xdr:cNvPr id="32" name="Graphic 31" descr="Money with solid fill">
              <a:extLst>
                <a:ext uri="{FF2B5EF4-FFF2-40B4-BE49-F238E27FC236}">
                  <a16:creationId xmlns:a16="http://schemas.microsoft.com/office/drawing/2014/main" id="{6D98167D-8ED8-155F-EEF9-F0374ADB38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11075175" y="1223924"/>
              <a:ext cx="450075" cy="45007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334352</xdr:colOff>
      <xdr:row>7</xdr:row>
      <xdr:rowOff>126187</xdr:rowOff>
    </xdr:from>
    <xdr:to>
      <xdr:col>7</xdr:col>
      <xdr:colOff>596288</xdr:colOff>
      <xdr:row>12</xdr:row>
      <xdr:rowOff>54248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A241773D-963A-60BA-7C03-520C7AE1EEEF}"/>
            </a:ext>
          </a:extLst>
        </xdr:cNvPr>
        <xdr:cNvGrpSpPr/>
      </xdr:nvGrpSpPr>
      <xdr:grpSpPr>
        <a:xfrm>
          <a:off x="2783638" y="1486901"/>
          <a:ext cx="2098900" cy="900000"/>
          <a:chOff x="2909889" y="1304925"/>
          <a:chExt cx="2090736" cy="1165632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2843D0B3-5A80-578E-C2CD-A5C77FE06B54}"/>
              </a:ext>
            </a:extLst>
          </xdr:cNvPr>
          <xdr:cNvSpPr/>
        </xdr:nvSpPr>
        <xdr:spPr>
          <a:xfrm>
            <a:off x="2909889" y="1304925"/>
            <a:ext cx="2090736" cy="1123950"/>
          </a:xfrm>
          <a:prstGeom prst="roundRect">
            <a:avLst>
              <a:gd name="adj" fmla="val 50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Pivot!B38">
        <xdr:nvSpPr>
          <xdr:cNvPr id="17" name="TextBox 16">
            <a:extLst>
              <a:ext uri="{FF2B5EF4-FFF2-40B4-BE49-F238E27FC236}">
                <a16:creationId xmlns:a16="http://schemas.microsoft.com/office/drawing/2014/main" id="{A22B52B7-621D-852E-4706-C9012042E014}"/>
              </a:ext>
            </a:extLst>
          </xdr:cNvPr>
          <xdr:cNvSpPr txBox="1"/>
        </xdr:nvSpPr>
        <xdr:spPr>
          <a:xfrm>
            <a:off x="3708789" y="1841906"/>
            <a:ext cx="492937" cy="6286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A017A3C-83FD-4DF0-A456-F976B38A8B1A}" type="TxLink">
              <a:rPr lang="en-US" sz="2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50</a:t>
            </a:fld>
            <a:endPara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41113BB1-9E53-DE63-514E-EDE7CC7B66E8}"/>
              </a:ext>
            </a:extLst>
          </xdr:cNvPr>
          <xdr:cNvGrpSpPr/>
        </xdr:nvGrpSpPr>
        <xdr:grpSpPr>
          <a:xfrm>
            <a:off x="3208265" y="1322336"/>
            <a:ext cx="1493985" cy="365228"/>
            <a:chOff x="6324600" y="1255661"/>
            <a:chExt cx="1674353" cy="365228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D4D2DAE-3C40-5E7F-C11C-786D240F502F}"/>
                </a:ext>
              </a:extLst>
            </xdr:cNvPr>
            <xdr:cNvSpPr txBox="1"/>
          </xdr:nvSpPr>
          <xdr:spPr>
            <a:xfrm>
              <a:off x="6645493" y="1255661"/>
              <a:ext cx="1353460" cy="365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600" b="1">
                  <a:solidFill>
                    <a:srgbClr val="654236"/>
                  </a:solidFill>
                  <a:latin typeface="Segoe UI Variable Small Semibol" pitchFamily="2" charset="0"/>
                </a:rPr>
                <a:t>Employees</a:t>
              </a:r>
            </a:p>
          </xdr:txBody>
        </xdr:sp>
        <xdr:pic>
          <xdr:nvPicPr>
            <xdr:cNvPr id="38" name="Graphic 37" descr="User with solid fill">
              <a:extLst>
                <a:ext uri="{FF2B5EF4-FFF2-40B4-BE49-F238E27FC236}">
                  <a16:creationId xmlns:a16="http://schemas.microsoft.com/office/drawing/2014/main" id="{78A56AA4-8739-82B3-E729-29C2F07E75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6324600" y="1257300"/>
              <a:ext cx="361950" cy="3619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12</xdr:col>
      <xdr:colOff>257174</xdr:colOff>
      <xdr:row>5</xdr:row>
      <xdr:rowOff>104775</xdr:rowOff>
    </xdr:from>
    <xdr:to>
      <xdr:col>23</xdr:col>
      <xdr:colOff>66675</xdr:colOff>
      <xdr:row>16</xdr:row>
      <xdr:rowOff>85725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2B93549-C98C-D50B-59BE-F1B385CCA632}"/>
            </a:ext>
          </a:extLst>
        </xdr:cNvPr>
        <xdr:cNvSpPr/>
      </xdr:nvSpPr>
      <xdr:spPr>
        <a:xfrm>
          <a:off x="7572374" y="1057275"/>
          <a:ext cx="6515101" cy="20764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409576</xdr:colOff>
      <xdr:row>5</xdr:row>
      <xdr:rowOff>47625</xdr:rowOff>
    </xdr:from>
    <xdr:to>
      <xdr:col>22</xdr:col>
      <xdr:colOff>581026</xdr:colOff>
      <xdr:row>15</xdr:row>
      <xdr:rowOff>185736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Chart 44">
              <a:extLst>
                <a:ext uri="{FF2B5EF4-FFF2-40B4-BE49-F238E27FC236}">
                  <a16:creationId xmlns:a16="http://schemas.microsoft.com/office/drawing/2014/main" id="{6D06623B-1F81-400B-A74B-311F30189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4776" y="1000125"/>
              <a:ext cx="6267450" cy="2043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87.091143981481" createdVersion="8" refreshedVersion="8" minRefreshableVersion="3" recordCount="50" xr:uid="{242AF987-BEEF-4265-95AA-6D149DA72472}">
  <cacheSource type="worksheet">
    <worksheetSource name="Employee_table"/>
  </cacheSource>
  <cacheFields count="9">
    <cacheField name="EmployeeID" numFmtId="0">
      <sharedItems count="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</sharedItems>
    </cacheField>
    <cacheField name="EmployeeName" numFmtId="0">
      <sharedItems/>
    </cacheField>
    <cacheField name="Department" numFmtId="0">
      <sharedItems count="5">
        <s v="Electronics"/>
        <s v="Furniture"/>
        <s v="Industrial"/>
        <s v="Tools"/>
        <s v="Agriculture"/>
      </sharedItems>
    </cacheField>
    <cacheField name="Market" numFmtId="0">
      <sharedItems count="6">
        <s v="North America"/>
        <s v="Europe"/>
        <s v="South America"/>
        <s v="Africa"/>
        <s v="Middle East"/>
        <s v="Asia"/>
      </sharedItems>
    </cacheField>
    <cacheField name="CommissionPlan" numFmtId="0">
      <sharedItems count="6">
        <s v="Tertiary Volume"/>
        <s v="Base Salary + Commission"/>
        <s v="Tiered Commission"/>
        <s v="Base Rate Only"/>
        <s v="Gross Margin"/>
        <s v="Draw Against Commission"/>
      </sharedItems>
    </cacheField>
    <cacheField name="Base Salary" numFmtId="169">
      <sharedItems containsSemiMixedTypes="0" containsString="0" containsNumber="1" containsInteger="1" minValue="0" maxValue="4500"/>
    </cacheField>
    <cacheField name="Total Sales" numFmtId="169">
      <sharedItems containsSemiMixedTypes="0" containsString="0" containsNumber="1" containsInteger="1" minValue="90320" maxValue="2002080"/>
    </cacheField>
    <cacheField name="Gross Margin" numFmtId="169">
      <sharedItems containsSemiMixedTypes="0" containsString="0" containsNumber="1" containsInteger="1" minValue="50752" maxValue="631352"/>
    </cacheField>
    <cacheField name="Commission" numFmtId="169">
      <sharedItems containsSemiMixedTypes="0" containsString="0" containsNumber="1" minValue="0" maxValue="610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Tammy Salazar MD"/>
    <x v="0"/>
    <x v="0"/>
    <x v="0"/>
    <n v="3000"/>
    <n v="463620"/>
    <n v="150168"/>
    <n v="33847.466666666667"/>
  </r>
  <r>
    <x v="1"/>
    <s v="Julia Kelly"/>
    <x v="1"/>
    <x v="1"/>
    <x v="1"/>
    <n v="2250"/>
    <n v="277010"/>
    <n v="95124"/>
    <n v="7790.2"/>
  </r>
  <r>
    <x v="2"/>
    <s v="Isaiah Peterson"/>
    <x v="2"/>
    <x v="0"/>
    <x v="2"/>
    <n v="3300"/>
    <n v="659280"/>
    <n v="221112"/>
    <n v="19778.399999999998"/>
  </r>
  <r>
    <x v="3"/>
    <s v="Amanda Williams"/>
    <x v="0"/>
    <x v="0"/>
    <x v="3"/>
    <n v="0"/>
    <n v="204540"/>
    <n v="78416"/>
    <n v="10227"/>
  </r>
  <r>
    <x v="4"/>
    <s v="Johnny Mata"/>
    <x v="1"/>
    <x v="2"/>
    <x v="2"/>
    <n v="3750"/>
    <n v="1006320"/>
    <n v="311648"/>
    <n v="50316"/>
  </r>
  <r>
    <x v="5"/>
    <s v="Michael Payne"/>
    <x v="2"/>
    <x v="1"/>
    <x v="0"/>
    <n v="3750"/>
    <n v="902400"/>
    <n v="294560"/>
    <n v="58089.599999999999"/>
  </r>
  <r>
    <x v="6"/>
    <s v="Sandra Combs"/>
    <x v="3"/>
    <x v="1"/>
    <x v="4"/>
    <n v="3750"/>
    <n v="976640"/>
    <n v="315816"/>
    <n v="17369.88"/>
  </r>
  <r>
    <x v="7"/>
    <s v="Kyle Hall"/>
    <x v="4"/>
    <x v="0"/>
    <x v="1"/>
    <n v="3300"/>
    <n v="132880"/>
    <n v="50752"/>
    <n v="5957.6"/>
  </r>
  <r>
    <x v="8"/>
    <s v="Dr. Justin Stephens"/>
    <x v="4"/>
    <x v="3"/>
    <x v="1"/>
    <n v="2250"/>
    <n v="1056570"/>
    <n v="355148"/>
    <n v="23381.4"/>
  </r>
  <r>
    <x v="9"/>
    <s v="Stephanie Hunt DVM"/>
    <x v="4"/>
    <x v="0"/>
    <x v="3"/>
    <n v="0"/>
    <n v="389040"/>
    <n v="125816"/>
    <n v="19452"/>
  </r>
  <r>
    <x v="10"/>
    <s v="Kayla Sellers"/>
    <x v="0"/>
    <x v="3"/>
    <x v="5"/>
    <n v="3750"/>
    <n v="486440"/>
    <n v="171736"/>
    <n v="10843.199999999999"/>
  </r>
  <r>
    <x v="11"/>
    <s v="Edward Hayes"/>
    <x v="4"/>
    <x v="0"/>
    <x v="0"/>
    <n v="3300"/>
    <n v="744900"/>
    <n v="250000"/>
    <n v="33847.466666666667"/>
  </r>
  <r>
    <x v="12"/>
    <s v="Kristin Knight"/>
    <x v="2"/>
    <x v="0"/>
    <x v="4"/>
    <n v="3000"/>
    <n v="469480"/>
    <n v="172472"/>
    <n v="9485.9600000000009"/>
  </r>
  <r>
    <x v="13"/>
    <s v="Janet Alexander"/>
    <x v="2"/>
    <x v="3"/>
    <x v="0"/>
    <n v="3750"/>
    <n v="768380"/>
    <n v="250472"/>
    <n v="17678.399999999998"/>
  </r>
  <r>
    <x v="14"/>
    <s v="Jody Wallace"/>
    <x v="4"/>
    <x v="2"/>
    <x v="1"/>
    <n v="3750"/>
    <n v="749840"/>
    <n v="258056"/>
    <n v="18746.800000000003"/>
  </r>
  <r>
    <x v="15"/>
    <s v="Stephanie Drake"/>
    <x v="0"/>
    <x v="4"/>
    <x v="1"/>
    <n v="3000"/>
    <n v="704500"/>
    <n v="231160"/>
    <n v="17090"/>
  </r>
  <r>
    <x v="16"/>
    <s v="Christopher Garcia"/>
    <x v="0"/>
    <x v="1"/>
    <x v="3"/>
    <n v="0"/>
    <n v="1221220"/>
    <n v="409208"/>
    <n v="61061"/>
  </r>
  <r>
    <x v="17"/>
    <s v="Patricia Wolf"/>
    <x v="4"/>
    <x v="5"/>
    <x v="0"/>
    <n v="3000"/>
    <n v="838500"/>
    <n v="268000"/>
    <n v="25155"/>
  </r>
  <r>
    <x v="18"/>
    <s v="Donald Cole"/>
    <x v="1"/>
    <x v="3"/>
    <x v="5"/>
    <n v="2250"/>
    <n v="1180600"/>
    <n v="378080"/>
    <n v="33168"/>
  </r>
  <r>
    <x v="19"/>
    <s v="Deborah Ruiz"/>
    <x v="4"/>
    <x v="4"/>
    <x v="0"/>
    <n v="4500"/>
    <n v="1407650"/>
    <n v="469420"/>
    <n v="41164.6"/>
  </r>
  <r>
    <x v="20"/>
    <s v="Tammy Mosley"/>
    <x v="2"/>
    <x v="4"/>
    <x v="1"/>
    <n v="3750"/>
    <n v="450950"/>
    <n v="152180"/>
    <n v="12769"/>
  </r>
  <r>
    <x v="21"/>
    <s v="Laura Campbell"/>
    <x v="1"/>
    <x v="1"/>
    <x v="4"/>
    <n v="3300"/>
    <n v="327310"/>
    <n v="125324"/>
    <n v="6892.82"/>
  </r>
  <r>
    <x v="22"/>
    <s v="Kenneth Reyes"/>
    <x v="4"/>
    <x v="4"/>
    <x v="0"/>
    <n v="3750"/>
    <n v="1730380"/>
    <n v="543632"/>
    <n v="41164.6"/>
  </r>
  <r>
    <x v="23"/>
    <s v="Kristin Bradley"/>
    <x v="1"/>
    <x v="4"/>
    <x v="5"/>
    <n v="3000"/>
    <n v="856960"/>
    <n v="286384"/>
    <n v="22708.799999999999"/>
  </r>
  <r>
    <x v="24"/>
    <s v="Maria Anderson"/>
    <x v="1"/>
    <x v="0"/>
    <x v="5"/>
    <n v="3300"/>
    <n v="90320"/>
    <n v="111328"/>
    <n v="0"/>
  </r>
  <r>
    <x v="25"/>
    <s v="Kelsey Brown"/>
    <x v="4"/>
    <x v="0"/>
    <x v="1"/>
    <n v="3750"/>
    <n v="391800"/>
    <n v="138640"/>
    <n v="11586"/>
  </r>
  <r>
    <x v="26"/>
    <s v="Dylan Cardenas"/>
    <x v="4"/>
    <x v="1"/>
    <x v="0"/>
    <n v="3300"/>
    <n v="2002080"/>
    <n v="631352"/>
    <n v="58089.599999999999"/>
  </r>
  <r>
    <x v="27"/>
    <s v="Adam Lee"/>
    <x v="3"/>
    <x v="4"/>
    <x v="4"/>
    <n v="2250"/>
    <n v="498500"/>
    <n v="170960"/>
    <n v="9402.7999999999993"/>
  </r>
  <r>
    <x v="28"/>
    <s v="Christopher Long"/>
    <x v="4"/>
    <x v="1"/>
    <x v="1"/>
    <n v="3750"/>
    <n v="1235960"/>
    <n v="386744"/>
    <n v="28469.200000000001"/>
  </r>
  <r>
    <x v="29"/>
    <s v="Laura Pierce"/>
    <x v="2"/>
    <x v="3"/>
    <x v="0"/>
    <n v="3750"/>
    <n v="730820"/>
    <n v="251408"/>
    <n v="17678.399999999998"/>
  </r>
  <r>
    <x v="30"/>
    <s v="Ashley Robertson"/>
    <x v="3"/>
    <x v="2"/>
    <x v="4"/>
    <n v="3000"/>
    <n v="380510"/>
    <n v="135804"/>
    <n v="7469.22"/>
  </r>
  <r>
    <x v="31"/>
    <s v="Darryl Lopez"/>
    <x v="1"/>
    <x v="1"/>
    <x v="2"/>
    <n v="3300"/>
    <n v="865410"/>
    <n v="272164"/>
    <n v="43270.5"/>
  </r>
  <r>
    <x v="32"/>
    <s v="Edward Anderson"/>
    <x v="0"/>
    <x v="0"/>
    <x v="3"/>
    <n v="0"/>
    <n v="714200"/>
    <n v="248960"/>
    <n v="35710"/>
  </r>
  <r>
    <x v="33"/>
    <s v="Brenda Conley"/>
    <x v="1"/>
    <x v="4"/>
    <x v="4"/>
    <n v="3750"/>
    <n v="714570"/>
    <n v="244428"/>
    <n v="13443.54"/>
  </r>
  <r>
    <x v="34"/>
    <s v="Robert Frost"/>
    <x v="0"/>
    <x v="5"/>
    <x v="4"/>
    <n v="3750"/>
    <n v="514720"/>
    <n v="181808"/>
    <n v="9999.44"/>
  </r>
  <r>
    <x v="35"/>
    <s v="Tanya Haney"/>
    <x v="3"/>
    <x v="2"/>
    <x v="5"/>
    <n v="3750"/>
    <n v="873150"/>
    <n v="296740"/>
    <n v="22444.5"/>
  </r>
  <r>
    <x v="36"/>
    <s v="Melissa Reyes"/>
    <x v="0"/>
    <x v="4"/>
    <x v="0"/>
    <n v="3750"/>
    <n v="978430"/>
    <n v="321612"/>
    <n v="41164.6"/>
  </r>
  <r>
    <x v="37"/>
    <s v="Caleb Thomas"/>
    <x v="2"/>
    <x v="3"/>
    <x v="0"/>
    <n v="3000"/>
    <n v="268640"/>
    <n v="89256"/>
    <n v="17678.399999999998"/>
  </r>
  <r>
    <x v="38"/>
    <s v="John Lindsey"/>
    <x v="0"/>
    <x v="3"/>
    <x v="4"/>
    <n v="2250"/>
    <n v="945750"/>
    <n v="303380"/>
    <n v="16685.900000000001"/>
  </r>
  <r>
    <x v="39"/>
    <s v="David Martin"/>
    <x v="3"/>
    <x v="0"/>
    <x v="0"/>
    <n v="3000"/>
    <n v="1330040"/>
    <n v="452416"/>
    <n v="33847.466666666667"/>
  </r>
  <r>
    <x v="40"/>
    <s v="Michael Friedman"/>
    <x v="2"/>
    <x v="1"/>
    <x v="2"/>
    <n v="3750"/>
    <n v="997600"/>
    <n v="320200"/>
    <n v="49880"/>
  </r>
  <r>
    <x v="41"/>
    <s v="Dr. Chad Miller"/>
    <x v="4"/>
    <x v="4"/>
    <x v="2"/>
    <n v="3750"/>
    <n v="1013810"/>
    <n v="329004"/>
    <n v="50690.5"/>
  </r>
  <r>
    <x v="42"/>
    <s v="Heather Santos"/>
    <x v="1"/>
    <x v="1"/>
    <x v="5"/>
    <n v="2250"/>
    <n v="926860"/>
    <n v="304744"/>
    <n v="25555.8"/>
  </r>
  <r>
    <x v="43"/>
    <s v="Michael Meyer"/>
    <x v="2"/>
    <x v="2"/>
    <x v="3"/>
    <n v="0"/>
    <n v="238000"/>
    <n v="95200"/>
    <n v="11900"/>
  </r>
  <r>
    <x v="44"/>
    <s v="Laura Sampson"/>
    <x v="4"/>
    <x v="5"/>
    <x v="3"/>
    <n v="0"/>
    <n v="492880"/>
    <n v="151352"/>
    <n v="24644"/>
  </r>
  <r>
    <x v="45"/>
    <s v="Emily Alexander"/>
    <x v="4"/>
    <x v="3"/>
    <x v="1"/>
    <n v="3000"/>
    <n v="131270"/>
    <n v="52508"/>
    <n v="5625.4"/>
  </r>
  <r>
    <x v="46"/>
    <s v="Betty Thompson"/>
    <x v="1"/>
    <x v="2"/>
    <x v="3"/>
    <n v="0"/>
    <n v="702940"/>
    <n v="230776"/>
    <n v="35147"/>
  </r>
  <r>
    <x v="47"/>
    <s v="Steven Woodard"/>
    <x v="3"/>
    <x v="0"/>
    <x v="2"/>
    <n v="2250"/>
    <n v="407580"/>
    <n v="147432"/>
    <n v="12227.4"/>
  </r>
  <r>
    <x v="48"/>
    <s v="Gregory Soto"/>
    <x v="1"/>
    <x v="4"/>
    <x v="4"/>
    <n v="3750"/>
    <n v="711580"/>
    <n v="231432"/>
    <n v="12728.76"/>
  </r>
  <r>
    <x v="49"/>
    <s v="Joseph Berry"/>
    <x v="1"/>
    <x v="3"/>
    <x v="2"/>
    <n v="3750"/>
    <n v="1056700"/>
    <n v="334880"/>
    <n v="528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CA801-EA15-4903-A7B9-36EAC25EB08F}" name="PivotTable6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43:B49" firstHeaderRow="1" firstDataRow="1" firstDataCol="1"/>
  <pivotFields count="9"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7">
        <item x="3"/>
        <item x="5"/>
        <item x="1"/>
        <item x="4"/>
        <item x="0"/>
        <item x="2"/>
        <item t="default"/>
      </items>
    </pivotField>
    <pivotField axis="axisRow" showAll="0">
      <items count="7">
        <item x="3"/>
        <item x="1"/>
        <item x="5"/>
        <item x="4"/>
        <item x="0"/>
        <item x="2"/>
        <item t="default"/>
      </items>
    </pivotField>
    <pivotField numFmtId="169" showAll="0"/>
    <pivotField numFmtId="169" showAll="0"/>
    <pivotField numFmtId="169" showAll="0"/>
    <pivotField dataField="1" numFmtId="169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mmissions" fld="8" baseField="2" baseItem="0" numFmtId="16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2C72E-ABFE-4914-B049-EA934B340E2F}" name="PivotTable5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7:A38" firstHeaderRow="1" firstDataRow="1" firstDataCol="0"/>
  <pivotFields count="9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7">
        <item x="3"/>
        <item x="5"/>
        <item x="1"/>
        <item x="4"/>
        <item x="0"/>
        <item x="2"/>
        <item t="default"/>
      </items>
    </pivotField>
    <pivotField showAll="0"/>
    <pivotField numFmtId="169" showAll="0"/>
    <pivotField numFmtId="169" showAll="0"/>
    <pivotField numFmtId="169" showAll="0"/>
    <pivotField numFmtId="169" showAll="0"/>
  </pivotFields>
  <rowItems count="1">
    <i/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7EF13-B3F9-4C8E-B0B1-BD9CF45F89AD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4:A35" firstHeaderRow="1" firstDataRow="1" firstDataCol="0"/>
  <pivotFields count="9"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7">
        <item x="3"/>
        <item x="5"/>
        <item x="1"/>
        <item x="4"/>
        <item x="0"/>
        <item x="2"/>
        <item t="default"/>
      </items>
    </pivotField>
    <pivotField showAll="0"/>
    <pivotField numFmtId="169" showAll="0"/>
    <pivotField numFmtId="169" showAll="0"/>
    <pivotField numFmtId="169" showAll="0"/>
    <pivotField dataField="1" numFmtId="169" showAll="0"/>
  </pivotFields>
  <rowItems count="1">
    <i/>
  </rowItems>
  <colItems count="1">
    <i/>
  </colItems>
  <dataFields count="1">
    <dataField name="Sum of Commission" fld="8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830E1-1187-49D6-95ED-37316F54085E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1:A32" firstHeaderRow="1" firstDataRow="1" firstDataCol="0"/>
  <pivotFields count="9"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7">
        <item x="3"/>
        <item x="5"/>
        <item x="1"/>
        <item x="4"/>
        <item x="0"/>
        <item x="2"/>
        <item t="default"/>
      </items>
    </pivotField>
    <pivotField showAll="0"/>
    <pivotField numFmtId="169" showAll="0"/>
    <pivotField dataField="1" numFmtId="169" showAll="0"/>
    <pivotField numFmtId="169" showAll="0"/>
    <pivotField numFmtId="169" showAll="0"/>
  </pivotFields>
  <rowItems count="1">
    <i/>
  </rowItems>
  <colItems count="1">
    <i/>
  </colItems>
  <dataFields count="1">
    <dataField name="Total_Sales" fld="6" baseField="2" baseItem="0" numFmtId="169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7945-653F-4872-847D-AB70CF1B5640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23:C29" firstHeaderRow="0" firstDataRow="1" firstDataCol="1"/>
  <pivotFields count="9"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axis="axisRow" showAll="0">
      <items count="7">
        <item x="3"/>
        <item x="5"/>
        <item x="1"/>
        <item x="4"/>
        <item x="0"/>
        <item x="2"/>
        <item t="default"/>
      </items>
    </pivotField>
    <pivotField showAll="0"/>
    <pivotField numFmtId="169" showAll="0"/>
    <pivotField dataField="1" numFmtId="169" showAll="0"/>
    <pivotField numFmtId="169" showAll="0"/>
    <pivotField dataField="1" numFmtId="16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ommissions" fld="8" baseField="2" baseItem="0" numFmtId="169"/>
    <dataField name="Total_Sales" fld="6" baseField="2" baseItem="0" numFmtId="16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3911B-29B0-418E-BE69-C072C35DF6DD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C8" firstHeaderRow="0" firstDataRow="1" firstDataCol="1"/>
  <pivotFields count="9"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numFmtId="169" showAll="0"/>
    <pivotField dataField="1" numFmtId="169" showAll="0"/>
    <pivotField numFmtId="169" showAll="0"/>
    <pivotField dataField="1" numFmtId="169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mmissions" fld="8" baseField="2" baseItem="0" numFmtId="169"/>
    <dataField name="Total_Sales" fld="6" baseField="2" baseItem="0" numFmtId="16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634F7-5095-43CB-82B0-3ACD1AADE73F}" name="Table2" displayName="Table2" ref="A1:I501" totalsRowShown="0" headerRowDxfId="4">
  <autoFilter ref="A1:I501" xr:uid="{C51634F7-5095-43CB-82B0-3ACD1AADE73F}"/>
  <tableColumns count="9">
    <tableColumn id="1" xr3:uid="{8E544538-B224-4A5B-9DA6-B814DEDC5FE8}" name="SaleID"/>
    <tableColumn id="2" xr3:uid="{ACC4FF6B-D189-41B6-A52D-984763EF72E3}" name="Date"/>
    <tableColumn id="3" xr3:uid="{606CDC32-A6E7-47F3-9DDF-3777B95B4458}" name="ProductID"/>
    <tableColumn id="4" xr3:uid="{AFE2914C-BF3C-4FAC-9D8D-28E101050E6D}" name="CustomerID"/>
    <tableColumn id="5" xr3:uid="{4594D2D3-0CBD-48EE-AB8B-A83B735DA49A}" name="EmployeeID"/>
    <tableColumn id="6" xr3:uid="{86A14CA7-2692-45F8-A027-BFCC24CA3EC3}" name="Quantity"/>
    <tableColumn id="7" xr3:uid="{B7988C52-9E91-445D-A2C8-BB8CA4A1726F}" name="TotalSaleValue"/>
    <tableColumn id="8" xr3:uid="{35BE4878-3C7C-4967-9B13-7C401E7C5122}" name="GrossMargin"/>
    <tableColumn id="9" xr3:uid="{F389B2B4-CED8-40A5-B529-905FC9FAE267}" name="CommissionPla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D63D9-F5CA-4CD6-BD10-981EFD398C41}" name="Employee_table" displayName="Employee_table" ref="A1:I51" totalsRowShown="0" headerRowDxfId="5">
  <autoFilter ref="A1:I51" xr:uid="{055D63D9-F5CA-4CD6-BD10-981EFD398C41}"/>
  <tableColumns count="9">
    <tableColumn id="1" xr3:uid="{5556DC61-B81F-4B97-9E4F-75363930CB69}" name="EmployeeID"/>
    <tableColumn id="2" xr3:uid="{0334A056-78BC-4AA0-803B-344293F6CACF}" name="EmployeeName"/>
    <tableColumn id="3" xr3:uid="{76788805-23A0-4906-99CF-AD4672031995}" name="Department"/>
    <tableColumn id="4" xr3:uid="{276368CA-391E-42BC-8C37-536A7587A776}" name="Market"/>
    <tableColumn id="5" xr3:uid="{B2F34E8A-830A-4C2B-AC71-3DEFD59038A3}" name="CommissionPlan"/>
    <tableColumn id="6" xr3:uid="{1B9E96D5-5B99-40F3-82E5-966023E2AC24}" name="Base Salary" dataDxfId="0"/>
    <tableColumn id="7" xr3:uid="{2F25CA1D-0A95-4482-A8A4-D39BD2CBDDDA}" name="Total Sales" dataDxfId="1">
      <calculatedColumnFormula>SUMIF(Sales!$E$2:$E$501,'Employees + Sales'!A2,Sales!$G$2:$G$501)</calculatedColumnFormula>
    </tableColumn>
    <tableColumn id="8" xr3:uid="{4C271DB9-82A9-4630-A6DA-A2809B743F9E}" name="Gross Margin" dataDxfId="2">
      <calculatedColumnFormula>SUMIF(Sales!$E$2:$E$501,Employee_table[[#This Row],[EmployeeID]],Sales!$H$2:$H$501)</calculatedColumnFormula>
    </tableColumn>
    <tableColumn id="9" xr3:uid="{F637CEC2-7F95-4BBE-8492-1D037A6DB117}" name="Commission" dataDxfId="3">
      <calculatedColumnFormula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J28" sqref="J28"/>
    </sheetView>
  </sheetViews>
  <sheetFormatPr defaultRowHeight="15" x14ac:dyDescent="0.25"/>
  <cols>
    <col min="1" max="1" width="11.7109375" bestFit="1" customWidth="1"/>
    <col min="2" max="2" width="19.7109375" bestFit="1" customWidth="1"/>
    <col min="3" max="3" width="11.7109375" bestFit="1" customWidth="1"/>
    <col min="4" max="4" width="14" bestFit="1" customWidth="1"/>
    <col min="5" max="5" width="24.28515625" bestFit="1" customWidth="1"/>
    <col min="6" max="6" width="10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723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3000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2250</v>
      </c>
    </row>
    <row r="4" spans="1:6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  <c r="F4">
        <v>3300</v>
      </c>
    </row>
    <row r="5" spans="1:6" x14ac:dyDescent="0.25">
      <c r="A5" t="s">
        <v>19</v>
      </c>
      <c r="B5" t="s">
        <v>20</v>
      </c>
      <c r="C5" t="s">
        <v>7</v>
      </c>
      <c r="D5" t="s">
        <v>8</v>
      </c>
      <c r="E5" t="s">
        <v>21</v>
      </c>
      <c r="F5">
        <v>0</v>
      </c>
    </row>
    <row r="6" spans="1:6" x14ac:dyDescent="0.25">
      <c r="A6" t="s">
        <v>22</v>
      </c>
      <c r="B6" t="s">
        <v>23</v>
      </c>
      <c r="C6" t="s">
        <v>12</v>
      </c>
      <c r="D6" t="s">
        <v>24</v>
      </c>
      <c r="E6" t="s">
        <v>18</v>
      </c>
      <c r="F6">
        <v>3750</v>
      </c>
    </row>
    <row r="7" spans="1:6" x14ac:dyDescent="0.25">
      <c r="A7" t="s">
        <v>25</v>
      </c>
      <c r="B7" t="s">
        <v>26</v>
      </c>
      <c r="C7" t="s">
        <v>17</v>
      </c>
      <c r="D7" t="s">
        <v>13</v>
      </c>
      <c r="E7" t="s">
        <v>9</v>
      </c>
      <c r="F7">
        <v>3750</v>
      </c>
    </row>
    <row r="8" spans="1:6" x14ac:dyDescent="0.25">
      <c r="A8" t="s">
        <v>27</v>
      </c>
      <c r="B8" t="s">
        <v>28</v>
      </c>
      <c r="C8" t="s">
        <v>29</v>
      </c>
      <c r="D8" t="s">
        <v>13</v>
      </c>
      <c r="E8" t="s">
        <v>30</v>
      </c>
      <c r="F8">
        <v>3750</v>
      </c>
    </row>
    <row r="9" spans="1:6" x14ac:dyDescent="0.25">
      <c r="A9" t="s">
        <v>31</v>
      </c>
      <c r="B9" t="s">
        <v>32</v>
      </c>
      <c r="C9" t="s">
        <v>33</v>
      </c>
      <c r="D9" t="s">
        <v>8</v>
      </c>
      <c r="E9" t="s">
        <v>14</v>
      </c>
      <c r="F9">
        <v>3300</v>
      </c>
    </row>
    <row r="10" spans="1:6" x14ac:dyDescent="0.25">
      <c r="A10" t="s">
        <v>34</v>
      </c>
      <c r="B10" t="s">
        <v>35</v>
      </c>
      <c r="C10" t="s">
        <v>33</v>
      </c>
      <c r="D10" t="s">
        <v>36</v>
      </c>
      <c r="E10" t="s">
        <v>14</v>
      </c>
      <c r="F10">
        <v>2250</v>
      </c>
    </row>
    <row r="11" spans="1:6" x14ac:dyDescent="0.25">
      <c r="A11" t="s">
        <v>37</v>
      </c>
      <c r="B11" t="s">
        <v>38</v>
      </c>
      <c r="C11" t="s">
        <v>33</v>
      </c>
      <c r="D11" t="s">
        <v>8</v>
      </c>
      <c r="E11" t="s">
        <v>21</v>
      </c>
      <c r="F11">
        <v>0</v>
      </c>
    </row>
    <row r="12" spans="1:6" x14ac:dyDescent="0.25">
      <c r="A12" t="s">
        <v>39</v>
      </c>
      <c r="B12" t="s">
        <v>40</v>
      </c>
      <c r="C12" t="s">
        <v>7</v>
      </c>
      <c r="D12" t="s">
        <v>36</v>
      </c>
      <c r="E12" t="s">
        <v>41</v>
      </c>
      <c r="F12">
        <v>3750</v>
      </c>
    </row>
    <row r="13" spans="1:6" x14ac:dyDescent="0.25">
      <c r="A13" t="s">
        <v>42</v>
      </c>
      <c r="B13" t="s">
        <v>43</v>
      </c>
      <c r="C13" t="s">
        <v>33</v>
      </c>
      <c r="D13" t="s">
        <v>8</v>
      </c>
      <c r="E13" t="s">
        <v>9</v>
      </c>
      <c r="F13">
        <v>3300</v>
      </c>
    </row>
    <row r="14" spans="1:6" x14ac:dyDescent="0.25">
      <c r="A14" t="s">
        <v>44</v>
      </c>
      <c r="B14" t="s">
        <v>45</v>
      </c>
      <c r="C14" t="s">
        <v>17</v>
      </c>
      <c r="D14" t="s">
        <v>8</v>
      </c>
      <c r="E14" t="s">
        <v>30</v>
      </c>
      <c r="F14">
        <v>3000</v>
      </c>
    </row>
    <row r="15" spans="1:6" x14ac:dyDescent="0.25">
      <c r="A15" t="s">
        <v>46</v>
      </c>
      <c r="B15" t="s">
        <v>47</v>
      </c>
      <c r="C15" t="s">
        <v>17</v>
      </c>
      <c r="D15" t="s">
        <v>36</v>
      </c>
      <c r="E15" t="s">
        <v>9</v>
      </c>
      <c r="F15">
        <v>3750</v>
      </c>
    </row>
    <row r="16" spans="1:6" x14ac:dyDescent="0.25">
      <c r="A16" t="s">
        <v>48</v>
      </c>
      <c r="B16" t="s">
        <v>49</v>
      </c>
      <c r="C16" t="s">
        <v>33</v>
      </c>
      <c r="D16" t="s">
        <v>24</v>
      </c>
      <c r="E16" t="s">
        <v>14</v>
      </c>
      <c r="F16">
        <v>3750</v>
      </c>
    </row>
    <row r="17" spans="1:6" x14ac:dyDescent="0.25">
      <c r="A17" t="s">
        <v>50</v>
      </c>
      <c r="B17" t="s">
        <v>51</v>
      </c>
      <c r="C17" t="s">
        <v>7</v>
      </c>
      <c r="D17" t="s">
        <v>52</v>
      </c>
      <c r="E17" t="s">
        <v>14</v>
      </c>
      <c r="F17">
        <v>3000</v>
      </c>
    </row>
    <row r="18" spans="1:6" x14ac:dyDescent="0.25">
      <c r="A18" t="s">
        <v>53</v>
      </c>
      <c r="B18" t="s">
        <v>54</v>
      </c>
      <c r="C18" t="s">
        <v>7</v>
      </c>
      <c r="D18" t="s">
        <v>13</v>
      </c>
      <c r="E18" t="s">
        <v>21</v>
      </c>
      <c r="F18">
        <v>0</v>
      </c>
    </row>
    <row r="19" spans="1:6" x14ac:dyDescent="0.25">
      <c r="A19" t="s">
        <v>55</v>
      </c>
      <c r="B19" t="s">
        <v>56</v>
      </c>
      <c r="C19" t="s">
        <v>33</v>
      </c>
      <c r="D19" t="s">
        <v>57</v>
      </c>
      <c r="E19" t="s">
        <v>9</v>
      </c>
      <c r="F19">
        <v>3000</v>
      </c>
    </row>
    <row r="20" spans="1:6" x14ac:dyDescent="0.25">
      <c r="A20" t="s">
        <v>58</v>
      </c>
      <c r="B20" t="s">
        <v>59</v>
      </c>
      <c r="C20" t="s">
        <v>12</v>
      </c>
      <c r="D20" t="s">
        <v>36</v>
      </c>
      <c r="E20" t="s">
        <v>41</v>
      </c>
      <c r="F20">
        <v>2250</v>
      </c>
    </row>
    <row r="21" spans="1:6" x14ac:dyDescent="0.25">
      <c r="A21" t="s">
        <v>60</v>
      </c>
      <c r="B21" t="s">
        <v>61</v>
      </c>
      <c r="C21" t="s">
        <v>33</v>
      </c>
      <c r="D21" t="s">
        <v>52</v>
      </c>
      <c r="E21" t="s">
        <v>9</v>
      </c>
      <c r="F21">
        <v>4500</v>
      </c>
    </row>
    <row r="22" spans="1:6" x14ac:dyDescent="0.25">
      <c r="A22" t="s">
        <v>62</v>
      </c>
      <c r="B22" t="s">
        <v>63</v>
      </c>
      <c r="C22" t="s">
        <v>17</v>
      </c>
      <c r="D22" t="s">
        <v>52</v>
      </c>
      <c r="E22" t="s">
        <v>14</v>
      </c>
      <c r="F22">
        <v>3750</v>
      </c>
    </row>
    <row r="23" spans="1:6" x14ac:dyDescent="0.25">
      <c r="A23" t="s">
        <v>64</v>
      </c>
      <c r="B23" t="s">
        <v>65</v>
      </c>
      <c r="C23" t="s">
        <v>12</v>
      </c>
      <c r="D23" t="s">
        <v>13</v>
      </c>
      <c r="E23" t="s">
        <v>30</v>
      </c>
      <c r="F23">
        <v>3300</v>
      </c>
    </row>
    <row r="24" spans="1:6" x14ac:dyDescent="0.25">
      <c r="A24" t="s">
        <v>66</v>
      </c>
      <c r="B24" t="s">
        <v>67</v>
      </c>
      <c r="C24" t="s">
        <v>33</v>
      </c>
      <c r="D24" t="s">
        <v>52</v>
      </c>
      <c r="E24" t="s">
        <v>9</v>
      </c>
      <c r="F24">
        <v>3750</v>
      </c>
    </row>
    <row r="25" spans="1:6" x14ac:dyDescent="0.25">
      <c r="A25" t="s">
        <v>68</v>
      </c>
      <c r="B25" t="s">
        <v>69</v>
      </c>
      <c r="C25" t="s">
        <v>12</v>
      </c>
      <c r="D25" t="s">
        <v>52</v>
      </c>
      <c r="E25" t="s">
        <v>41</v>
      </c>
      <c r="F25">
        <v>3000</v>
      </c>
    </row>
    <row r="26" spans="1:6" x14ac:dyDescent="0.25">
      <c r="A26" t="s">
        <v>70</v>
      </c>
      <c r="B26" t="s">
        <v>71</v>
      </c>
      <c r="C26" t="s">
        <v>12</v>
      </c>
      <c r="D26" t="s">
        <v>8</v>
      </c>
      <c r="E26" t="s">
        <v>41</v>
      </c>
      <c r="F26">
        <v>3300</v>
      </c>
    </row>
    <row r="27" spans="1:6" x14ac:dyDescent="0.25">
      <c r="A27" t="s">
        <v>72</v>
      </c>
      <c r="B27" t="s">
        <v>73</v>
      </c>
      <c r="C27" t="s">
        <v>33</v>
      </c>
      <c r="D27" t="s">
        <v>8</v>
      </c>
      <c r="E27" t="s">
        <v>14</v>
      </c>
      <c r="F27">
        <v>3750</v>
      </c>
    </row>
    <row r="28" spans="1:6" x14ac:dyDescent="0.25">
      <c r="A28" t="s">
        <v>74</v>
      </c>
      <c r="B28" t="s">
        <v>75</v>
      </c>
      <c r="C28" t="s">
        <v>33</v>
      </c>
      <c r="D28" t="s">
        <v>13</v>
      </c>
      <c r="E28" t="s">
        <v>9</v>
      </c>
      <c r="F28">
        <v>3300</v>
      </c>
    </row>
    <row r="29" spans="1:6" x14ac:dyDescent="0.25">
      <c r="A29" t="s">
        <v>76</v>
      </c>
      <c r="B29" t="s">
        <v>77</v>
      </c>
      <c r="C29" t="s">
        <v>29</v>
      </c>
      <c r="D29" t="s">
        <v>52</v>
      </c>
      <c r="E29" t="s">
        <v>30</v>
      </c>
      <c r="F29">
        <v>2250</v>
      </c>
    </row>
    <row r="30" spans="1:6" x14ac:dyDescent="0.25">
      <c r="A30" t="s">
        <v>78</v>
      </c>
      <c r="B30" t="s">
        <v>79</v>
      </c>
      <c r="C30" t="s">
        <v>33</v>
      </c>
      <c r="D30" t="s">
        <v>13</v>
      </c>
      <c r="E30" t="s">
        <v>14</v>
      </c>
      <c r="F30">
        <v>3750</v>
      </c>
    </row>
    <row r="31" spans="1:6" x14ac:dyDescent="0.25">
      <c r="A31" t="s">
        <v>80</v>
      </c>
      <c r="B31" t="s">
        <v>81</v>
      </c>
      <c r="C31" t="s">
        <v>17</v>
      </c>
      <c r="D31" t="s">
        <v>36</v>
      </c>
      <c r="E31" t="s">
        <v>9</v>
      </c>
      <c r="F31">
        <v>3750</v>
      </c>
    </row>
    <row r="32" spans="1:6" x14ac:dyDescent="0.25">
      <c r="A32" t="s">
        <v>82</v>
      </c>
      <c r="B32" t="s">
        <v>83</v>
      </c>
      <c r="C32" t="s">
        <v>29</v>
      </c>
      <c r="D32" t="s">
        <v>24</v>
      </c>
      <c r="E32" t="s">
        <v>30</v>
      </c>
      <c r="F32">
        <v>3000</v>
      </c>
    </row>
    <row r="33" spans="1:6" x14ac:dyDescent="0.25">
      <c r="A33" t="s">
        <v>84</v>
      </c>
      <c r="B33" t="s">
        <v>85</v>
      </c>
      <c r="C33" t="s">
        <v>12</v>
      </c>
      <c r="D33" t="s">
        <v>13</v>
      </c>
      <c r="E33" t="s">
        <v>18</v>
      </c>
      <c r="F33">
        <v>3300</v>
      </c>
    </row>
    <row r="34" spans="1:6" x14ac:dyDescent="0.25">
      <c r="A34" t="s">
        <v>86</v>
      </c>
      <c r="B34" t="s">
        <v>87</v>
      </c>
      <c r="C34" t="s">
        <v>7</v>
      </c>
      <c r="D34" t="s">
        <v>8</v>
      </c>
      <c r="E34" t="s">
        <v>21</v>
      </c>
      <c r="F34">
        <v>0</v>
      </c>
    </row>
    <row r="35" spans="1:6" x14ac:dyDescent="0.25">
      <c r="A35" t="s">
        <v>88</v>
      </c>
      <c r="B35" t="s">
        <v>89</v>
      </c>
      <c r="C35" t="s">
        <v>12</v>
      </c>
      <c r="D35" t="s">
        <v>52</v>
      </c>
      <c r="E35" t="s">
        <v>30</v>
      </c>
      <c r="F35">
        <v>3750</v>
      </c>
    </row>
    <row r="36" spans="1:6" x14ac:dyDescent="0.25">
      <c r="A36" t="s">
        <v>90</v>
      </c>
      <c r="B36" t="s">
        <v>91</v>
      </c>
      <c r="C36" t="s">
        <v>7</v>
      </c>
      <c r="D36" t="s">
        <v>57</v>
      </c>
      <c r="E36" t="s">
        <v>30</v>
      </c>
      <c r="F36">
        <v>3750</v>
      </c>
    </row>
    <row r="37" spans="1:6" x14ac:dyDescent="0.25">
      <c r="A37" t="s">
        <v>92</v>
      </c>
      <c r="B37" t="s">
        <v>93</v>
      </c>
      <c r="C37" t="s">
        <v>29</v>
      </c>
      <c r="D37" t="s">
        <v>24</v>
      </c>
      <c r="E37" t="s">
        <v>41</v>
      </c>
      <c r="F37">
        <v>3750</v>
      </c>
    </row>
    <row r="38" spans="1:6" x14ac:dyDescent="0.25">
      <c r="A38" t="s">
        <v>94</v>
      </c>
      <c r="B38" t="s">
        <v>95</v>
      </c>
      <c r="C38" t="s">
        <v>7</v>
      </c>
      <c r="D38" t="s">
        <v>52</v>
      </c>
      <c r="E38" t="s">
        <v>9</v>
      </c>
      <c r="F38">
        <v>3750</v>
      </c>
    </row>
    <row r="39" spans="1:6" x14ac:dyDescent="0.25">
      <c r="A39" t="s">
        <v>96</v>
      </c>
      <c r="B39" t="s">
        <v>97</v>
      </c>
      <c r="C39" t="s">
        <v>17</v>
      </c>
      <c r="D39" t="s">
        <v>36</v>
      </c>
      <c r="E39" t="s">
        <v>9</v>
      </c>
      <c r="F39">
        <v>3000</v>
      </c>
    </row>
    <row r="40" spans="1:6" x14ac:dyDescent="0.25">
      <c r="A40" t="s">
        <v>98</v>
      </c>
      <c r="B40" t="s">
        <v>99</v>
      </c>
      <c r="C40" t="s">
        <v>7</v>
      </c>
      <c r="D40" t="s">
        <v>36</v>
      </c>
      <c r="E40" t="s">
        <v>30</v>
      </c>
      <c r="F40">
        <v>2250</v>
      </c>
    </row>
    <row r="41" spans="1:6" x14ac:dyDescent="0.25">
      <c r="A41" t="s">
        <v>100</v>
      </c>
      <c r="B41" t="s">
        <v>101</v>
      </c>
      <c r="C41" t="s">
        <v>29</v>
      </c>
      <c r="D41" t="s">
        <v>8</v>
      </c>
      <c r="E41" t="s">
        <v>9</v>
      </c>
      <c r="F41">
        <v>3000</v>
      </c>
    </row>
    <row r="42" spans="1:6" x14ac:dyDescent="0.25">
      <c r="A42" t="s">
        <v>102</v>
      </c>
      <c r="B42" t="s">
        <v>103</v>
      </c>
      <c r="C42" t="s">
        <v>17</v>
      </c>
      <c r="D42" t="s">
        <v>13</v>
      </c>
      <c r="E42" t="s">
        <v>18</v>
      </c>
      <c r="F42">
        <v>3750</v>
      </c>
    </row>
    <row r="43" spans="1:6" x14ac:dyDescent="0.25">
      <c r="A43" t="s">
        <v>104</v>
      </c>
      <c r="B43" t="s">
        <v>105</v>
      </c>
      <c r="C43" t="s">
        <v>33</v>
      </c>
      <c r="D43" t="s">
        <v>52</v>
      </c>
      <c r="E43" t="s">
        <v>18</v>
      </c>
      <c r="F43">
        <v>3750</v>
      </c>
    </row>
    <row r="44" spans="1:6" x14ac:dyDescent="0.25">
      <c r="A44" t="s">
        <v>106</v>
      </c>
      <c r="B44" t="s">
        <v>107</v>
      </c>
      <c r="C44" t="s">
        <v>12</v>
      </c>
      <c r="D44" t="s">
        <v>13</v>
      </c>
      <c r="E44" t="s">
        <v>41</v>
      </c>
      <c r="F44">
        <v>2250</v>
      </c>
    </row>
    <row r="45" spans="1:6" x14ac:dyDescent="0.25">
      <c r="A45" t="s">
        <v>108</v>
      </c>
      <c r="B45" t="s">
        <v>109</v>
      </c>
      <c r="C45" t="s">
        <v>17</v>
      </c>
      <c r="D45" t="s">
        <v>24</v>
      </c>
      <c r="E45" t="s">
        <v>21</v>
      </c>
      <c r="F45">
        <v>0</v>
      </c>
    </row>
    <row r="46" spans="1:6" x14ac:dyDescent="0.25">
      <c r="A46" t="s">
        <v>110</v>
      </c>
      <c r="B46" t="s">
        <v>111</v>
      </c>
      <c r="C46" t="s">
        <v>33</v>
      </c>
      <c r="D46" t="s">
        <v>57</v>
      </c>
      <c r="E46" t="s">
        <v>21</v>
      </c>
      <c r="F46">
        <v>0</v>
      </c>
    </row>
    <row r="47" spans="1:6" x14ac:dyDescent="0.25">
      <c r="A47" t="s">
        <v>112</v>
      </c>
      <c r="B47" t="s">
        <v>113</v>
      </c>
      <c r="C47" t="s">
        <v>33</v>
      </c>
      <c r="D47" t="s">
        <v>36</v>
      </c>
      <c r="E47" t="s">
        <v>14</v>
      </c>
      <c r="F47">
        <v>3000</v>
      </c>
    </row>
    <row r="48" spans="1:6" x14ac:dyDescent="0.25">
      <c r="A48" t="s">
        <v>114</v>
      </c>
      <c r="B48" t="s">
        <v>115</v>
      </c>
      <c r="C48" t="s">
        <v>12</v>
      </c>
      <c r="D48" t="s">
        <v>24</v>
      </c>
      <c r="E48" t="s">
        <v>21</v>
      </c>
      <c r="F48">
        <v>0</v>
      </c>
    </row>
    <row r="49" spans="1:6" x14ac:dyDescent="0.25">
      <c r="A49" t="s">
        <v>116</v>
      </c>
      <c r="B49" t="s">
        <v>117</v>
      </c>
      <c r="C49" t="s">
        <v>29</v>
      </c>
      <c r="D49" t="s">
        <v>8</v>
      </c>
      <c r="E49" t="s">
        <v>18</v>
      </c>
      <c r="F49">
        <v>2250</v>
      </c>
    </row>
    <row r="50" spans="1:6" x14ac:dyDescent="0.25">
      <c r="A50" t="s">
        <v>118</v>
      </c>
      <c r="B50" t="s">
        <v>119</v>
      </c>
      <c r="C50" t="s">
        <v>12</v>
      </c>
      <c r="D50" t="s">
        <v>52</v>
      </c>
      <c r="E50" t="s">
        <v>30</v>
      </c>
      <c r="F50">
        <v>3750</v>
      </c>
    </row>
    <row r="51" spans="1:6" x14ac:dyDescent="0.25">
      <c r="A51" t="s">
        <v>120</v>
      </c>
      <c r="B51" t="s">
        <v>121</v>
      </c>
      <c r="C51" t="s">
        <v>12</v>
      </c>
      <c r="D51" t="s">
        <v>36</v>
      </c>
      <c r="E51" t="s">
        <v>18</v>
      </c>
      <c r="F51">
        <v>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D30" sqref="D30"/>
    </sheetView>
  </sheetViews>
  <sheetFormatPr defaultRowHeight="15" x14ac:dyDescent="0.25"/>
  <cols>
    <col min="1" max="1" width="11.42578125" bestFit="1" customWidth="1"/>
    <col min="2" max="2" width="15" bestFit="1" customWidth="1"/>
    <col min="3" max="4" width="14" bestFit="1" customWidth="1"/>
  </cols>
  <sheetData>
    <row r="1" spans="1:4" x14ac:dyDescent="0.25">
      <c r="A1" s="1" t="s">
        <v>122</v>
      </c>
      <c r="B1" s="1" t="s">
        <v>123</v>
      </c>
      <c r="C1" s="1" t="s">
        <v>124</v>
      </c>
      <c r="D1" s="1" t="s">
        <v>125</v>
      </c>
    </row>
    <row r="2" spans="1:4" x14ac:dyDescent="0.25">
      <c r="A2" t="s">
        <v>126</v>
      </c>
      <c r="B2" t="s">
        <v>127</v>
      </c>
      <c r="C2" t="s">
        <v>128</v>
      </c>
      <c r="D2" t="s">
        <v>13</v>
      </c>
    </row>
    <row r="3" spans="1:4" x14ac:dyDescent="0.25">
      <c r="A3" t="s">
        <v>129</v>
      </c>
      <c r="B3" t="s">
        <v>130</v>
      </c>
      <c r="C3" t="s">
        <v>131</v>
      </c>
      <c r="D3" t="s">
        <v>52</v>
      </c>
    </row>
    <row r="4" spans="1:4" x14ac:dyDescent="0.25">
      <c r="A4" t="s">
        <v>132</v>
      </c>
      <c r="B4" t="s">
        <v>133</v>
      </c>
      <c r="C4" t="s">
        <v>134</v>
      </c>
      <c r="D4" t="s">
        <v>52</v>
      </c>
    </row>
    <row r="5" spans="1:4" x14ac:dyDescent="0.25">
      <c r="A5" t="s">
        <v>135</v>
      </c>
      <c r="B5" t="s">
        <v>136</v>
      </c>
      <c r="C5" t="s">
        <v>137</v>
      </c>
      <c r="D5" t="s">
        <v>57</v>
      </c>
    </row>
    <row r="6" spans="1:4" x14ac:dyDescent="0.25">
      <c r="A6" t="s">
        <v>138</v>
      </c>
      <c r="B6" t="s">
        <v>139</v>
      </c>
      <c r="C6" t="s">
        <v>137</v>
      </c>
      <c r="D6" t="s">
        <v>57</v>
      </c>
    </row>
    <row r="7" spans="1:4" x14ac:dyDescent="0.25">
      <c r="A7" t="s">
        <v>140</v>
      </c>
      <c r="B7" t="s">
        <v>141</v>
      </c>
      <c r="C7" t="s">
        <v>131</v>
      </c>
      <c r="D7" t="s">
        <v>57</v>
      </c>
    </row>
    <row r="8" spans="1:4" x14ac:dyDescent="0.25">
      <c r="A8" t="s">
        <v>142</v>
      </c>
      <c r="B8" t="s">
        <v>143</v>
      </c>
      <c r="C8" t="s">
        <v>144</v>
      </c>
      <c r="D8" t="s">
        <v>13</v>
      </c>
    </row>
    <row r="9" spans="1:4" x14ac:dyDescent="0.25">
      <c r="A9" t="s">
        <v>145</v>
      </c>
      <c r="B9" t="s">
        <v>146</v>
      </c>
      <c r="C9" t="s">
        <v>134</v>
      </c>
      <c r="D9" t="s">
        <v>8</v>
      </c>
    </row>
    <row r="10" spans="1:4" x14ac:dyDescent="0.25">
      <c r="A10" t="s">
        <v>147</v>
      </c>
      <c r="B10" t="s">
        <v>148</v>
      </c>
      <c r="C10" t="s">
        <v>137</v>
      </c>
      <c r="D10" t="s">
        <v>8</v>
      </c>
    </row>
    <row r="11" spans="1:4" x14ac:dyDescent="0.25">
      <c r="A11" t="s">
        <v>149</v>
      </c>
      <c r="B11" t="s">
        <v>150</v>
      </c>
      <c r="C11" t="s">
        <v>131</v>
      </c>
      <c r="D11" t="s">
        <v>24</v>
      </c>
    </row>
    <row r="12" spans="1:4" x14ac:dyDescent="0.25">
      <c r="A12" t="s">
        <v>151</v>
      </c>
      <c r="B12" t="s">
        <v>152</v>
      </c>
      <c r="C12" t="s">
        <v>134</v>
      </c>
      <c r="D12" t="s">
        <v>24</v>
      </c>
    </row>
    <row r="13" spans="1:4" x14ac:dyDescent="0.25">
      <c r="A13" t="s">
        <v>153</v>
      </c>
      <c r="B13" t="s">
        <v>154</v>
      </c>
      <c r="C13" t="s">
        <v>134</v>
      </c>
      <c r="D13" t="s">
        <v>8</v>
      </c>
    </row>
    <row r="14" spans="1:4" x14ac:dyDescent="0.25">
      <c r="A14" t="s">
        <v>155</v>
      </c>
      <c r="B14" t="s">
        <v>156</v>
      </c>
      <c r="C14" t="s">
        <v>144</v>
      </c>
      <c r="D14" t="s">
        <v>52</v>
      </c>
    </row>
    <row r="15" spans="1:4" x14ac:dyDescent="0.25">
      <c r="A15" t="s">
        <v>157</v>
      </c>
      <c r="B15" t="s">
        <v>158</v>
      </c>
      <c r="C15" t="s">
        <v>144</v>
      </c>
      <c r="D15" t="s">
        <v>13</v>
      </c>
    </row>
    <row r="16" spans="1:4" x14ac:dyDescent="0.25">
      <c r="A16" t="s">
        <v>159</v>
      </c>
      <c r="B16" t="s">
        <v>160</v>
      </c>
      <c r="C16" t="s">
        <v>144</v>
      </c>
      <c r="D16" t="s">
        <v>8</v>
      </c>
    </row>
    <row r="17" spans="1:4" x14ac:dyDescent="0.25">
      <c r="A17" t="s">
        <v>161</v>
      </c>
      <c r="B17" t="s">
        <v>162</v>
      </c>
      <c r="C17" t="s">
        <v>137</v>
      </c>
      <c r="D17" t="s">
        <v>8</v>
      </c>
    </row>
    <row r="18" spans="1:4" x14ac:dyDescent="0.25">
      <c r="A18" t="s">
        <v>163</v>
      </c>
      <c r="B18" t="s">
        <v>164</v>
      </c>
      <c r="C18" t="s">
        <v>131</v>
      </c>
      <c r="D18" t="s">
        <v>13</v>
      </c>
    </row>
    <row r="19" spans="1:4" x14ac:dyDescent="0.25">
      <c r="A19" t="s">
        <v>165</v>
      </c>
      <c r="B19" t="s">
        <v>166</v>
      </c>
      <c r="C19" t="s">
        <v>137</v>
      </c>
      <c r="D19" t="s">
        <v>52</v>
      </c>
    </row>
    <row r="20" spans="1:4" x14ac:dyDescent="0.25">
      <c r="A20" t="s">
        <v>167</v>
      </c>
      <c r="B20" t="s">
        <v>168</v>
      </c>
      <c r="C20" t="s">
        <v>128</v>
      </c>
      <c r="D20" t="s">
        <v>13</v>
      </c>
    </row>
    <row r="21" spans="1:4" x14ac:dyDescent="0.25">
      <c r="A21" t="s">
        <v>169</v>
      </c>
      <c r="B21" t="s">
        <v>170</v>
      </c>
      <c r="C21" t="s">
        <v>131</v>
      </c>
      <c r="D2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E7"/>
    </sheetView>
  </sheetViews>
  <sheetFormatPr defaultRowHeight="15" x14ac:dyDescent="0.25"/>
  <cols>
    <col min="1" max="1" width="9.7109375" bestFit="1" customWidth="1"/>
    <col min="2" max="2" width="13.85546875" bestFit="1" customWidth="1"/>
    <col min="3" max="3" width="11.7109375" bestFit="1" customWidth="1"/>
    <col min="4" max="5" width="9.28515625" bestFit="1" customWidth="1"/>
  </cols>
  <sheetData>
    <row r="1" spans="1:5" x14ac:dyDescent="0.25">
      <c r="A1" s="1" t="s">
        <v>171</v>
      </c>
      <c r="B1" s="1" t="s">
        <v>172</v>
      </c>
      <c r="C1" s="1" t="s">
        <v>2</v>
      </c>
      <c r="D1" s="1" t="s">
        <v>173</v>
      </c>
      <c r="E1" s="1" t="s">
        <v>174</v>
      </c>
    </row>
    <row r="2" spans="1:5" x14ac:dyDescent="0.25">
      <c r="A2" t="s">
        <v>175</v>
      </c>
      <c r="B2" t="s">
        <v>176</v>
      </c>
      <c r="C2" t="s">
        <v>7</v>
      </c>
      <c r="D2">
        <v>1200</v>
      </c>
      <c r="E2">
        <v>800</v>
      </c>
    </row>
    <row r="3" spans="1:5" x14ac:dyDescent="0.25">
      <c r="A3" t="s">
        <v>177</v>
      </c>
      <c r="B3" t="s">
        <v>178</v>
      </c>
      <c r="C3" t="s">
        <v>12</v>
      </c>
      <c r="D3">
        <v>150</v>
      </c>
      <c r="E3">
        <v>90</v>
      </c>
    </row>
    <row r="4" spans="1:5" x14ac:dyDescent="0.25">
      <c r="A4" t="s">
        <v>179</v>
      </c>
      <c r="B4" t="s">
        <v>180</v>
      </c>
      <c r="C4" t="s">
        <v>33</v>
      </c>
      <c r="D4">
        <v>20</v>
      </c>
      <c r="E4">
        <v>12</v>
      </c>
    </row>
    <row r="5" spans="1:5" x14ac:dyDescent="0.25">
      <c r="A5" t="s">
        <v>181</v>
      </c>
      <c r="B5" t="s">
        <v>182</v>
      </c>
      <c r="C5" t="s">
        <v>29</v>
      </c>
      <c r="D5">
        <v>500</v>
      </c>
      <c r="E5">
        <v>300</v>
      </c>
    </row>
    <row r="6" spans="1:5" x14ac:dyDescent="0.25">
      <c r="A6" t="s">
        <v>183</v>
      </c>
      <c r="B6" t="s">
        <v>184</v>
      </c>
      <c r="C6" t="s">
        <v>7</v>
      </c>
      <c r="D6">
        <v>300</v>
      </c>
      <c r="E6">
        <v>180</v>
      </c>
    </row>
    <row r="7" spans="1:5" x14ac:dyDescent="0.25">
      <c r="A7" t="s">
        <v>185</v>
      </c>
      <c r="B7" t="s">
        <v>186</v>
      </c>
      <c r="C7" t="s">
        <v>17</v>
      </c>
      <c r="D7">
        <v>2000</v>
      </c>
      <c r="E7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workbookViewId="0">
      <selection activeCell="L5" sqref="L5"/>
    </sheetView>
  </sheetViews>
  <sheetFormatPr defaultRowHeight="15" x14ac:dyDescent="0.25"/>
  <cols>
    <col min="1" max="1" width="8.7109375" customWidth="1"/>
    <col min="2" max="2" width="10.42578125" bestFit="1" customWidth="1"/>
    <col min="3" max="3" width="11.85546875" customWidth="1"/>
    <col min="4" max="4" width="13.5703125" customWidth="1"/>
    <col min="5" max="5" width="13.85546875" customWidth="1"/>
    <col min="6" max="6" width="10.85546875" customWidth="1"/>
    <col min="7" max="7" width="16.42578125" customWidth="1"/>
    <col min="8" max="8" width="14.42578125" customWidth="1"/>
    <col min="9" max="9" width="24.28515625" bestFit="1" customWidth="1"/>
  </cols>
  <sheetData>
    <row r="1" spans="1:10" x14ac:dyDescent="0.25">
      <c r="A1" s="2" t="s">
        <v>187</v>
      </c>
      <c r="B1" s="2" t="s">
        <v>188</v>
      </c>
      <c r="C1" s="2" t="s">
        <v>171</v>
      </c>
      <c r="D1" s="2" t="s">
        <v>122</v>
      </c>
      <c r="E1" s="2" t="s">
        <v>0</v>
      </c>
      <c r="F1" s="2" t="s">
        <v>189</v>
      </c>
      <c r="G1" s="2" t="s">
        <v>190</v>
      </c>
      <c r="H1" s="2" t="s">
        <v>191</v>
      </c>
      <c r="I1" s="2" t="s">
        <v>4</v>
      </c>
      <c r="J1" s="3"/>
    </row>
    <row r="2" spans="1:10" x14ac:dyDescent="0.25">
      <c r="A2" t="s">
        <v>192</v>
      </c>
      <c r="B2" t="s">
        <v>193</v>
      </c>
      <c r="C2" t="s">
        <v>185</v>
      </c>
      <c r="D2" t="s">
        <v>167</v>
      </c>
      <c r="E2" t="s">
        <v>94</v>
      </c>
      <c r="F2">
        <v>126</v>
      </c>
      <c r="G2">
        <v>252000</v>
      </c>
      <c r="H2">
        <v>75600</v>
      </c>
      <c r="I2" t="s">
        <v>9</v>
      </c>
    </row>
    <row r="3" spans="1:10" x14ac:dyDescent="0.25">
      <c r="A3" t="s">
        <v>194</v>
      </c>
      <c r="B3" t="s">
        <v>195</v>
      </c>
      <c r="C3" t="s">
        <v>181</v>
      </c>
      <c r="D3" t="s">
        <v>157</v>
      </c>
      <c r="E3" t="s">
        <v>44</v>
      </c>
      <c r="F3">
        <v>29</v>
      </c>
      <c r="G3">
        <v>14500</v>
      </c>
      <c r="H3">
        <v>5800</v>
      </c>
      <c r="I3" t="s">
        <v>30</v>
      </c>
    </row>
    <row r="4" spans="1:10" x14ac:dyDescent="0.25">
      <c r="A4" t="s">
        <v>196</v>
      </c>
      <c r="B4" t="s">
        <v>197</v>
      </c>
      <c r="C4" t="s">
        <v>185</v>
      </c>
      <c r="D4" t="s">
        <v>157</v>
      </c>
      <c r="E4" t="s">
        <v>66</v>
      </c>
      <c r="F4">
        <v>113</v>
      </c>
      <c r="G4">
        <v>226000</v>
      </c>
      <c r="H4">
        <v>67800</v>
      </c>
      <c r="I4" t="s">
        <v>9</v>
      </c>
    </row>
    <row r="5" spans="1:10" x14ac:dyDescent="0.25">
      <c r="A5" t="s">
        <v>198</v>
      </c>
      <c r="B5" t="s">
        <v>199</v>
      </c>
      <c r="C5" t="s">
        <v>181</v>
      </c>
      <c r="D5" t="s">
        <v>129</v>
      </c>
      <c r="E5" t="s">
        <v>108</v>
      </c>
      <c r="F5">
        <v>172</v>
      </c>
      <c r="G5">
        <v>86000</v>
      </c>
      <c r="H5">
        <v>34400</v>
      </c>
      <c r="I5" t="s">
        <v>21</v>
      </c>
    </row>
    <row r="6" spans="1:10" x14ac:dyDescent="0.25">
      <c r="A6" t="s">
        <v>200</v>
      </c>
      <c r="B6" t="s">
        <v>201</v>
      </c>
      <c r="C6" t="s">
        <v>175</v>
      </c>
      <c r="D6" t="s">
        <v>129</v>
      </c>
      <c r="E6" t="s">
        <v>72</v>
      </c>
      <c r="F6">
        <v>191</v>
      </c>
      <c r="G6">
        <v>229200</v>
      </c>
      <c r="H6">
        <v>76400</v>
      </c>
      <c r="I6" t="s">
        <v>14</v>
      </c>
    </row>
    <row r="7" spans="1:10" x14ac:dyDescent="0.25">
      <c r="A7" t="s">
        <v>202</v>
      </c>
      <c r="B7" t="s">
        <v>203</v>
      </c>
      <c r="C7" t="s">
        <v>175</v>
      </c>
      <c r="D7" t="s">
        <v>145</v>
      </c>
      <c r="E7" t="s">
        <v>44</v>
      </c>
      <c r="F7">
        <v>53</v>
      </c>
      <c r="G7">
        <v>63600</v>
      </c>
      <c r="H7">
        <v>21200</v>
      </c>
      <c r="I7" t="s">
        <v>30</v>
      </c>
    </row>
    <row r="8" spans="1:10" x14ac:dyDescent="0.25">
      <c r="A8" t="s">
        <v>204</v>
      </c>
      <c r="B8" t="s">
        <v>205</v>
      </c>
      <c r="C8" t="s">
        <v>181</v>
      </c>
      <c r="D8" t="s">
        <v>138</v>
      </c>
      <c r="E8" t="s">
        <v>76</v>
      </c>
      <c r="F8">
        <v>51</v>
      </c>
      <c r="G8">
        <v>25500</v>
      </c>
      <c r="H8">
        <v>10200</v>
      </c>
      <c r="I8" t="s">
        <v>30</v>
      </c>
    </row>
    <row r="9" spans="1:10" x14ac:dyDescent="0.25">
      <c r="A9" t="s">
        <v>206</v>
      </c>
      <c r="B9" t="s">
        <v>207</v>
      </c>
      <c r="C9" t="s">
        <v>181</v>
      </c>
      <c r="D9" t="s">
        <v>145</v>
      </c>
      <c r="E9" t="s">
        <v>22</v>
      </c>
      <c r="F9">
        <v>118</v>
      </c>
      <c r="G9">
        <v>59000</v>
      </c>
      <c r="H9">
        <v>23600</v>
      </c>
      <c r="I9" t="s">
        <v>18</v>
      </c>
    </row>
    <row r="10" spans="1:10" x14ac:dyDescent="0.25">
      <c r="A10" t="s">
        <v>208</v>
      </c>
      <c r="B10" t="s">
        <v>203</v>
      </c>
      <c r="C10" t="s">
        <v>183</v>
      </c>
      <c r="D10" t="s">
        <v>135</v>
      </c>
      <c r="E10" t="s">
        <v>19</v>
      </c>
      <c r="F10">
        <v>171</v>
      </c>
      <c r="G10">
        <v>51300</v>
      </c>
      <c r="H10">
        <v>20520</v>
      </c>
      <c r="I10" t="s">
        <v>21</v>
      </c>
    </row>
    <row r="11" spans="1:10" x14ac:dyDescent="0.25">
      <c r="A11" t="s">
        <v>209</v>
      </c>
      <c r="B11" t="s">
        <v>210</v>
      </c>
      <c r="C11" t="s">
        <v>175</v>
      </c>
      <c r="D11" t="s">
        <v>132</v>
      </c>
      <c r="E11" t="s">
        <v>118</v>
      </c>
      <c r="F11">
        <v>65</v>
      </c>
      <c r="G11">
        <v>78000</v>
      </c>
      <c r="H11">
        <v>26000</v>
      </c>
      <c r="I11" t="s">
        <v>30</v>
      </c>
    </row>
    <row r="12" spans="1:10" x14ac:dyDescent="0.25">
      <c r="A12" t="s">
        <v>211</v>
      </c>
      <c r="B12" t="s">
        <v>212</v>
      </c>
      <c r="C12" t="s">
        <v>181</v>
      </c>
      <c r="D12" t="s">
        <v>161</v>
      </c>
      <c r="E12" t="s">
        <v>82</v>
      </c>
      <c r="F12">
        <v>59</v>
      </c>
      <c r="G12">
        <v>29500</v>
      </c>
      <c r="H12">
        <v>11800</v>
      </c>
      <c r="I12" t="s">
        <v>30</v>
      </c>
    </row>
    <row r="13" spans="1:10" x14ac:dyDescent="0.25">
      <c r="A13" t="s">
        <v>213</v>
      </c>
      <c r="B13" t="s">
        <v>214</v>
      </c>
      <c r="C13" t="s">
        <v>181</v>
      </c>
      <c r="D13" t="s">
        <v>129</v>
      </c>
      <c r="E13" t="s">
        <v>39</v>
      </c>
      <c r="F13">
        <v>102</v>
      </c>
      <c r="G13">
        <v>51000</v>
      </c>
      <c r="H13">
        <v>20400</v>
      </c>
      <c r="I13" t="s">
        <v>41</v>
      </c>
    </row>
    <row r="14" spans="1:10" x14ac:dyDescent="0.25">
      <c r="A14" t="s">
        <v>215</v>
      </c>
      <c r="B14" t="s">
        <v>197</v>
      </c>
      <c r="C14" t="s">
        <v>181</v>
      </c>
      <c r="D14" t="s">
        <v>147</v>
      </c>
      <c r="E14" t="s">
        <v>80</v>
      </c>
      <c r="F14">
        <v>78</v>
      </c>
      <c r="G14">
        <v>39000</v>
      </c>
      <c r="H14">
        <v>15600</v>
      </c>
      <c r="I14" t="s">
        <v>9</v>
      </c>
    </row>
    <row r="15" spans="1:10" x14ac:dyDescent="0.25">
      <c r="A15" t="s">
        <v>216</v>
      </c>
      <c r="B15" t="s">
        <v>217</v>
      </c>
      <c r="C15" t="s">
        <v>185</v>
      </c>
      <c r="D15" t="s">
        <v>165</v>
      </c>
      <c r="E15" t="s">
        <v>106</v>
      </c>
      <c r="F15">
        <v>188</v>
      </c>
      <c r="G15">
        <v>376000</v>
      </c>
      <c r="H15">
        <v>112800</v>
      </c>
      <c r="I15" t="s">
        <v>41</v>
      </c>
    </row>
    <row r="16" spans="1:10" x14ac:dyDescent="0.25">
      <c r="A16" t="s">
        <v>218</v>
      </c>
      <c r="B16" t="s">
        <v>219</v>
      </c>
      <c r="C16" t="s">
        <v>177</v>
      </c>
      <c r="D16" t="s">
        <v>142</v>
      </c>
      <c r="E16" t="s">
        <v>58</v>
      </c>
      <c r="F16">
        <v>60</v>
      </c>
      <c r="G16">
        <v>9000</v>
      </c>
      <c r="H16">
        <v>3600</v>
      </c>
      <c r="I16" t="s">
        <v>41</v>
      </c>
    </row>
    <row r="17" spans="1:9" x14ac:dyDescent="0.25">
      <c r="A17" t="s">
        <v>220</v>
      </c>
      <c r="B17" t="s">
        <v>221</v>
      </c>
      <c r="C17" t="s">
        <v>175</v>
      </c>
      <c r="D17" t="s">
        <v>167</v>
      </c>
      <c r="E17" t="s">
        <v>116</v>
      </c>
      <c r="F17">
        <v>143</v>
      </c>
      <c r="G17">
        <v>171600</v>
      </c>
      <c r="H17">
        <v>57200</v>
      </c>
      <c r="I17" t="s">
        <v>18</v>
      </c>
    </row>
    <row r="18" spans="1:9" x14ac:dyDescent="0.25">
      <c r="A18" t="s">
        <v>222</v>
      </c>
      <c r="B18" t="s">
        <v>223</v>
      </c>
      <c r="C18" t="s">
        <v>185</v>
      </c>
      <c r="D18" t="s">
        <v>151</v>
      </c>
      <c r="E18" t="s">
        <v>19</v>
      </c>
      <c r="F18">
        <v>17</v>
      </c>
      <c r="G18">
        <v>34000</v>
      </c>
      <c r="H18">
        <v>10200</v>
      </c>
      <c r="I18" t="s">
        <v>21</v>
      </c>
    </row>
    <row r="19" spans="1:9" x14ac:dyDescent="0.25">
      <c r="A19" t="s">
        <v>224</v>
      </c>
      <c r="B19" t="s">
        <v>221</v>
      </c>
      <c r="C19" t="s">
        <v>181</v>
      </c>
      <c r="D19" t="s">
        <v>163</v>
      </c>
      <c r="E19" t="s">
        <v>88</v>
      </c>
      <c r="F19">
        <v>45</v>
      </c>
      <c r="G19">
        <v>22500</v>
      </c>
      <c r="H19">
        <v>9000</v>
      </c>
      <c r="I19" t="s">
        <v>30</v>
      </c>
    </row>
    <row r="20" spans="1:9" x14ac:dyDescent="0.25">
      <c r="A20" t="s">
        <v>225</v>
      </c>
      <c r="B20" t="s">
        <v>226</v>
      </c>
      <c r="C20" t="s">
        <v>183</v>
      </c>
      <c r="D20" t="s">
        <v>132</v>
      </c>
      <c r="E20" t="s">
        <v>42</v>
      </c>
      <c r="F20">
        <v>22</v>
      </c>
      <c r="G20">
        <v>6600</v>
      </c>
      <c r="H20">
        <v>2640</v>
      </c>
      <c r="I20" t="s">
        <v>9</v>
      </c>
    </row>
    <row r="21" spans="1:9" x14ac:dyDescent="0.25">
      <c r="A21" t="s">
        <v>227</v>
      </c>
      <c r="B21" t="s">
        <v>219</v>
      </c>
      <c r="C21" t="s">
        <v>175</v>
      </c>
      <c r="D21" t="s">
        <v>145</v>
      </c>
      <c r="E21" t="s">
        <v>72</v>
      </c>
      <c r="F21">
        <v>35</v>
      </c>
      <c r="G21">
        <v>42000</v>
      </c>
      <c r="H21">
        <v>14000</v>
      </c>
      <c r="I21" t="s">
        <v>14</v>
      </c>
    </row>
    <row r="22" spans="1:9" x14ac:dyDescent="0.25">
      <c r="A22" t="s">
        <v>228</v>
      </c>
      <c r="B22" t="s">
        <v>221</v>
      </c>
      <c r="C22" t="s">
        <v>183</v>
      </c>
      <c r="D22" t="s">
        <v>145</v>
      </c>
      <c r="E22" t="s">
        <v>96</v>
      </c>
      <c r="F22">
        <v>157</v>
      </c>
      <c r="G22">
        <v>47100</v>
      </c>
      <c r="H22">
        <v>18840</v>
      </c>
      <c r="I22" t="s">
        <v>9</v>
      </c>
    </row>
    <row r="23" spans="1:9" x14ac:dyDescent="0.25">
      <c r="A23" t="s">
        <v>229</v>
      </c>
      <c r="B23" t="s">
        <v>223</v>
      </c>
      <c r="C23" t="s">
        <v>183</v>
      </c>
      <c r="D23" t="s">
        <v>132</v>
      </c>
      <c r="E23" t="s">
        <v>74</v>
      </c>
      <c r="F23">
        <v>173</v>
      </c>
      <c r="G23">
        <v>51900</v>
      </c>
      <c r="H23">
        <v>20760</v>
      </c>
      <c r="I23" t="s">
        <v>9</v>
      </c>
    </row>
    <row r="24" spans="1:9" x14ac:dyDescent="0.25">
      <c r="A24" t="s">
        <v>230</v>
      </c>
      <c r="B24" t="s">
        <v>231</v>
      </c>
      <c r="C24" t="s">
        <v>183</v>
      </c>
      <c r="D24" t="s">
        <v>163</v>
      </c>
      <c r="E24" t="s">
        <v>62</v>
      </c>
      <c r="F24">
        <v>71</v>
      </c>
      <c r="G24">
        <v>21300</v>
      </c>
      <c r="H24">
        <v>8520</v>
      </c>
      <c r="I24" t="s">
        <v>14</v>
      </c>
    </row>
    <row r="25" spans="1:9" x14ac:dyDescent="0.25">
      <c r="A25" t="s">
        <v>232</v>
      </c>
      <c r="B25" t="s">
        <v>233</v>
      </c>
      <c r="C25" t="s">
        <v>185</v>
      </c>
      <c r="D25" t="s">
        <v>151</v>
      </c>
      <c r="E25" t="s">
        <v>50</v>
      </c>
      <c r="F25">
        <v>72</v>
      </c>
      <c r="G25">
        <v>144000</v>
      </c>
      <c r="H25">
        <v>43200</v>
      </c>
      <c r="I25" t="s">
        <v>14</v>
      </c>
    </row>
    <row r="26" spans="1:9" x14ac:dyDescent="0.25">
      <c r="A26" t="s">
        <v>234</v>
      </c>
      <c r="B26" t="s">
        <v>235</v>
      </c>
      <c r="C26" t="s">
        <v>177</v>
      </c>
      <c r="D26" t="s">
        <v>149</v>
      </c>
      <c r="E26" t="s">
        <v>80</v>
      </c>
      <c r="F26">
        <v>85</v>
      </c>
      <c r="G26">
        <v>12750</v>
      </c>
      <c r="H26">
        <v>5100</v>
      </c>
      <c r="I26" t="s">
        <v>9</v>
      </c>
    </row>
    <row r="27" spans="1:9" x14ac:dyDescent="0.25">
      <c r="A27" t="s">
        <v>236</v>
      </c>
      <c r="B27" t="s">
        <v>223</v>
      </c>
      <c r="C27" t="s">
        <v>175</v>
      </c>
      <c r="D27" t="s">
        <v>126</v>
      </c>
      <c r="E27" t="s">
        <v>80</v>
      </c>
      <c r="F27">
        <v>164</v>
      </c>
      <c r="G27">
        <v>196800</v>
      </c>
      <c r="H27">
        <v>65600</v>
      </c>
      <c r="I27" t="s">
        <v>9</v>
      </c>
    </row>
    <row r="28" spans="1:9" x14ac:dyDescent="0.25">
      <c r="A28" t="s">
        <v>237</v>
      </c>
      <c r="B28" t="s">
        <v>238</v>
      </c>
      <c r="C28" t="s">
        <v>175</v>
      </c>
      <c r="D28" t="s">
        <v>132</v>
      </c>
      <c r="E28" t="s">
        <v>90</v>
      </c>
      <c r="F28">
        <v>59</v>
      </c>
      <c r="G28">
        <v>70800</v>
      </c>
      <c r="H28">
        <v>23600</v>
      </c>
      <c r="I28" t="s">
        <v>30</v>
      </c>
    </row>
    <row r="29" spans="1:9" x14ac:dyDescent="0.25">
      <c r="A29" t="s">
        <v>239</v>
      </c>
      <c r="B29" t="s">
        <v>240</v>
      </c>
      <c r="C29" t="s">
        <v>179</v>
      </c>
      <c r="D29" t="s">
        <v>138</v>
      </c>
      <c r="E29" t="s">
        <v>66</v>
      </c>
      <c r="F29">
        <v>22</v>
      </c>
      <c r="G29">
        <v>440</v>
      </c>
      <c r="H29">
        <v>176</v>
      </c>
      <c r="I29" t="s">
        <v>9</v>
      </c>
    </row>
    <row r="30" spans="1:9" x14ac:dyDescent="0.25">
      <c r="A30" t="s">
        <v>241</v>
      </c>
      <c r="B30" t="s">
        <v>242</v>
      </c>
      <c r="C30" t="s">
        <v>177</v>
      </c>
      <c r="D30" t="s">
        <v>153</v>
      </c>
      <c r="E30" t="s">
        <v>58</v>
      </c>
      <c r="F30">
        <v>45</v>
      </c>
      <c r="G30">
        <v>6750</v>
      </c>
      <c r="H30">
        <v>2700</v>
      </c>
      <c r="I30" t="s">
        <v>41</v>
      </c>
    </row>
    <row r="31" spans="1:9" x14ac:dyDescent="0.25">
      <c r="A31" t="s">
        <v>243</v>
      </c>
      <c r="B31" t="s">
        <v>238</v>
      </c>
      <c r="C31" t="s">
        <v>183</v>
      </c>
      <c r="D31" t="s">
        <v>149</v>
      </c>
      <c r="E31" t="s">
        <v>100</v>
      </c>
      <c r="F31">
        <v>172</v>
      </c>
      <c r="G31">
        <v>51600</v>
      </c>
      <c r="H31">
        <v>20640</v>
      </c>
      <c r="I31" t="s">
        <v>9</v>
      </c>
    </row>
    <row r="32" spans="1:9" x14ac:dyDescent="0.25">
      <c r="A32" t="s">
        <v>244</v>
      </c>
      <c r="B32" t="s">
        <v>195</v>
      </c>
      <c r="C32" t="s">
        <v>175</v>
      </c>
      <c r="D32" t="s">
        <v>165</v>
      </c>
      <c r="E32" t="s">
        <v>60</v>
      </c>
      <c r="F32">
        <v>174</v>
      </c>
      <c r="G32">
        <v>208800</v>
      </c>
      <c r="H32">
        <v>69600</v>
      </c>
      <c r="I32" t="s">
        <v>9</v>
      </c>
    </row>
    <row r="33" spans="1:9" x14ac:dyDescent="0.25">
      <c r="A33" t="s">
        <v>245</v>
      </c>
      <c r="B33" t="s">
        <v>246</v>
      </c>
      <c r="C33" t="s">
        <v>177</v>
      </c>
      <c r="D33" t="s">
        <v>147</v>
      </c>
      <c r="E33" t="s">
        <v>31</v>
      </c>
      <c r="F33">
        <v>32</v>
      </c>
      <c r="G33">
        <v>4800</v>
      </c>
      <c r="H33">
        <v>1920</v>
      </c>
      <c r="I33" t="s">
        <v>14</v>
      </c>
    </row>
    <row r="34" spans="1:9" x14ac:dyDescent="0.25">
      <c r="A34" t="s">
        <v>247</v>
      </c>
      <c r="B34" t="s">
        <v>226</v>
      </c>
      <c r="C34" t="s">
        <v>183</v>
      </c>
      <c r="D34" t="s">
        <v>138</v>
      </c>
      <c r="E34" t="s">
        <v>55</v>
      </c>
      <c r="F34">
        <v>77</v>
      </c>
      <c r="G34">
        <v>23100</v>
      </c>
      <c r="H34">
        <v>9240</v>
      </c>
      <c r="I34" t="s">
        <v>9</v>
      </c>
    </row>
    <row r="35" spans="1:9" x14ac:dyDescent="0.25">
      <c r="A35" t="s">
        <v>248</v>
      </c>
      <c r="B35" t="s">
        <v>199</v>
      </c>
      <c r="C35" t="s">
        <v>177</v>
      </c>
      <c r="D35" t="s">
        <v>151</v>
      </c>
      <c r="E35" t="s">
        <v>46</v>
      </c>
      <c r="F35">
        <v>180</v>
      </c>
      <c r="G35">
        <v>27000</v>
      </c>
      <c r="H35">
        <v>10800</v>
      </c>
      <c r="I35" t="s">
        <v>9</v>
      </c>
    </row>
    <row r="36" spans="1:9" x14ac:dyDescent="0.25">
      <c r="A36" t="s">
        <v>249</v>
      </c>
      <c r="B36" t="s">
        <v>240</v>
      </c>
      <c r="C36" t="s">
        <v>179</v>
      </c>
      <c r="D36" t="s">
        <v>163</v>
      </c>
      <c r="E36" t="s">
        <v>84</v>
      </c>
      <c r="F36">
        <v>69</v>
      </c>
      <c r="G36">
        <v>1380</v>
      </c>
      <c r="H36">
        <v>552</v>
      </c>
      <c r="I36" t="s">
        <v>18</v>
      </c>
    </row>
    <row r="37" spans="1:9" x14ac:dyDescent="0.25">
      <c r="A37" t="s">
        <v>250</v>
      </c>
      <c r="B37" t="s">
        <v>251</v>
      </c>
      <c r="C37" t="s">
        <v>175</v>
      </c>
      <c r="D37" t="s">
        <v>132</v>
      </c>
      <c r="E37" t="s">
        <v>102</v>
      </c>
      <c r="F37">
        <v>113</v>
      </c>
      <c r="G37">
        <v>135600</v>
      </c>
      <c r="H37">
        <v>45200</v>
      </c>
      <c r="I37" t="s">
        <v>18</v>
      </c>
    </row>
    <row r="38" spans="1:9" x14ac:dyDescent="0.25">
      <c r="A38" t="s">
        <v>252</v>
      </c>
      <c r="B38" t="s">
        <v>253</v>
      </c>
      <c r="C38" t="s">
        <v>179</v>
      </c>
      <c r="D38" t="s">
        <v>129</v>
      </c>
      <c r="E38" t="s">
        <v>5</v>
      </c>
      <c r="F38">
        <v>90</v>
      </c>
      <c r="G38">
        <v>1800</v>
      </c>
      <c r="H38">
        <v>720</v>
      </c>
      <c r="I38" t="s">
        <v>9</v>
      </c>
    </row>
    <row r="39" spans="1:9" x14ac:dyDescent="0.25">
      <c r="A39" t="s">
        <v>254</v>
      </c>
      <c r="B39" t="s">
        <v>242</v>
      </c>
      <c r="C39" t="s">
        <v>177</v>
      </c>
      <c r="D39" t="s">
        <v>147</v>
      </c>
      <c r="E39" t="s">
        <v>39</v>
      </c>
      <c r="F39">
        <v>194</v>
      </c>
      <c r="G39">
        <v>29100</v>
      </c>
      <c r="H39">
        <v>11640</v>
      </c>
      <c r="I39" t="s">
        <v>41</v>
      </c>
    </row>
    <row r="40" spans="1:9" x14ac:dyDescent="0.25">
      <c r="A40" t="s">
        <v>255</v>
      </c>
      <c r="B40" t="s">
        <v>195</v>
      </c>
      <c r="C40" t="s">
        <v>183</v>
      </c>
      <c r="D40" t="s">
        <v>157</v>
      </c>
      <c r="E40" t="s">
        <v>92</v>
      </c>
      <c r="F40">
        <v>7</v>
      </c>
      <c r="G40">
        <v>2100</v>
      </c>
      <c r="H40">
        <v>840</v>
      </c>
      <c r="I40" t="s">
        <v>41</v>
      </c>
    </row>
    <row r="41" spans="1:9" x14ac:dyDescent="0.25">
      <c r="A41" t="s">
        <v>256</v>
      </c>
      <c r="B41" t="s">
        <v>251</v>
      </c>
      <c r="C41" t="s">
        <v>175</v>
      </c>
      <c r="D41" t="s">
        <v>138</v>
      </c>
      <c r="E41" t="s">
        <v>90</v>
      </c>
      <c r="F41">
        <v>14</v>
      </c>
      <c r="G41">
        <v>16800</v>
      </c>
      <c r="H41">
        <v>5600</v>
      </c>
      <c r="I41" t="s">
        <v>30</v>
      </c>
    </row>
    <row r="42" spans="1:9" x14ac:dyDescent="0.25">
      <c r="A42" t="s">
        <v>257</v>
      </c>
      <c r="B42" t="s">
        <v>197</v>
      </c>
      <c r="C42" t="s">
        <v>179</v>
      </c>
      <c r="D42" t="s">
        <v>167</v>
      </c>
      <c r="E42" t="s">
        <v>92</v>
      </c>
      <c r="F42">
        <v>42</v>
      </c>
      <c r="G42">
        <v>840</v>
      </c>
      <c r="H42">
        <v>336</v>
      </c>
      <c r="I42" t="s">
        <v>41</v>
      </c>
    </row>
    <row r="43" spans="1:9" x14ac:dyDescent="0.25">
      <c r="A43" t="s">
        <v>258</v>
      </c>
      <c r="B43" t="s">
        <v>240</v>
      </c>
      <c r="C43" t="s">
        <v>177</v>
      </c>
      <c r="D43" t="s">
        <v>129</v>
      </c>
      <c r="E43" t="s">
        <v>60</v>
      </c>
      <c r="F43">
        <v>98</v>
      </c>
      <c r="G43">
        <v>14700</v>
      </c>
      <c r="H43">
        <v>5880</v>
      </c>
      <c r="I43" t="s">
        <v>9</v>
      </c>
    </row>
    <row r="44" spans="1:9" x14ac:dyDescent="0.25">
      <c r="A44" t="s">
        <v>259</v>
      </c>
      <c r="B44" t="s">
        <v>193</v>
      </c>
      <c r="C44" t="s">
        <v>175</v>
      </c>
      <c r="D44" t="s">
        <v>153</v>
      </c>
      <c r="E44" t="s">
        <v>46</v>
      </c>
      <c r="F44">
        <v>179</v>
      </c>
      <c r="G44">
        <v>214800</v>
      </c>
      <c r="H44">
        <v>71600</v>
      </c>
      <c r="I44" t="s">
        <v>9</v>
      </c>
    </row>
    <row r="45" spans="1:9" x14ac:dyDescent="0.25">
      <c r="A45" t="s">
        <v>260</v>
      </c>
      <c r="B45" t="s">
        <v>240</v>
      </c>
      <c r="C45" t="s">
        <v>185</v>
      </c>
      <c r="D45" t="s">
        <v>135</v>
      </c>
      <c r="E45" t="s">
        <v>66</v>
      </c>
      <c r="F45">
        <v>148</v>
      </c>
      <c r="G45">
        <v>296000</v>
      </c>
      <c r="H45">
        <v>88800</v>
      </c>
      <c r="I45" t="s">
        <v>9</v>
      </c>
    </row>
    <row r="46" spans="1:9" x14ac:dyDescent="0.25">
      <c r="A46" t="s">
        <v>261</v>
      </c>
      <c r="B46" t="s">
        <v>235</v>
      </c>
      <c r="C46" t="s">
        <v>181</v>
      </c>
      <c r="D46" t="s">
        <v>169</v>
      </c>
      <c r="E46" t="s">
        <v>116</v>
      </c>
      <c r="F46">
        <v>44</v>
      </c>
      <c r="G46">
        <v>22000</v>
      </c>
      <c r="H46">
        <v>8800</v>
      </c>
      <c r="I46" t="s">
        <v>18</v>
      </c>
    </row>
    <row r="47" spans="1:9" x14ac:dyDescent="0.25">
      <c r="A47" t="s">
        <v>262</v>
      </c>
      <c r="B47" t="s">
        <v>214</v>
      </c>
      <c r="C47" t="s">
        <v>177</v>
      </c>
      <c r="D47" t="s">
        <v>140</v>
      </c>
      <c r="E47" t="s">
        <v>42</v>
      </c>
      <c r="F47">
        <v>110</v>
      </c>
      <c r="G47">
        <v>16500</v>
      </c>
      <c r="H47">
        <v>6600</v>
      </c>
      <c r="I47" t="s">
        <v>9</v>
      </c>
    </row>
    <row r="48" spans="1:9" x14ac:dyDescent="0.25">
      <c r="A48" t="s">
        <v>263</v>
      </c>
      <c r="B48" t="s">
        <v>212</v>
      </c>
      <c r="C48" t="s">
        <v>177</v>
      </c>
      <c r="D48" t="s">
        <v>151</v>
      </c>
      <c r="E48" t="s">
        <v>74</v>
      </c>
      <c r="F48">
        <v>176</v>
      </c>
      <c r="G48">
        <v>26400</v>
      </c>
      <c r="H48">
        <v>10560</v>
      </c>
      <c r="I48" t="s">
        <v>9</v>
      </c>
    </row>
    <row r="49" spans="1:9" x14ac:dyDescent="0.25">
      <c r="A49" t="s">
        <v>264</v>
      </c>
      <c r="B49" t="s">
        <v>207</v>
      </c>
      <c r="C49" t="s">
        <v>185</v>
      </c>
      <c r="D49" t="s">
        <v>145</v>
      </c>
      <c r="E49" t="s">
        <v>55</v>
      </c>
      <c r="F49">
        <v>45</v>
      </c>
      <c r="G49">
        <v>90000</v>
      </c>
      <c r="H49">
        <v>27000</v>
      </c>
      <c r="I49" t="s">
        <v>9</v>
      </c>
    </row>
    <row r="50" spans="1:9" x14ac:dyDescent="0.25">
      <c r="A50" t="s">
        <v>265</v>
      </c>
      <c r="B50" t="s">
        <v>212</v>
      </c>
      <c r="C50" t="s">
        <v>185</v>
      </c>
      <c r="D50" t="s">
        <v>135</v>
      </c>
      <c r="E50" t="s">
        <v>70</v>
      </c>
      <c r="F50">
        <v>2</v>
      </c>
      <c r="G50">
        <v>4000</v>
      </c>
      <c r="H50">
        <v>8400</v>
      </c>
      <c r="I50" t="s">
        <v>41</v>
      </c>
    </row>
    <row r="51" spans="1:9" x14ac:dyDescent="0.25">
      <c r="A51" t="s">
        <v>266</v>
      </c>
      <c r="B51" t="s">
        <v>267</v>
      </c>
      <c r="C51" t="s">
        <v>181</v>
      </c>
      <c r="D51" t="s">
        <v>145</v>
      </c>
      <c r="E51" t="s">
        <v>44</v>
      </c>
      <c r="F51">
        <v>122</v>
      </c>
      <c r="G51">
        <v>61000</v>
      </c>
      <c r="H51">
        <v>24400</v>
      </c>
      <c r="I51" t="s">
        <v>30</v>
      </c>
    </row>
    <row r="52" spans="1:9" x14ac:dyDescent="0.25">
      <c r="A52" t="s">
        <v>268</v>
      </c>
      <c r="B52" t="s">
        <v>269</v>
      </c>
      <c r="C52" t="s">
        <v>179</v>
      </c>
      <c r="D52" t="s">
        <v>145</v>
      </c>
      <c r="E52" t="s">
        <v>48</v>
      </c>
      <c r="F52">
        <v>11</v>
      </c>
      <c r="G52">
        <v>220</v>
      </c>
      <c r="H52">
        <v>88</v>
      </c>
      <c r="I52" t="s">
        <v>14</v>
      </c>
    </row>
    <row r="53" spans="1:9" x14ac:dyDescent="0.25">
      <c r="A53" t="s">
        <v>270</v>
      </c>
      <c r="B53" t="s">
        <v>212</v>
      </c>
      <c r="C53" t="s">
        <v>177</v>
      </c>
      <c r="D53" t="s">
        <v>155</v>
      </c>
      <c r="E53" t="s">
        <v>64</v>
      </c>
      <c r="F53">
        <v>76</v>
      </c>
      <c r="G53">
        <v>11400</v>
      </c>
      <c r="H53">
        <v>4560</v>
      </c>
      <c r="I53" t="s">
        <v>30</v>
      </c>
    </row>
    <row r="54" spans="1:9" x14ac:dyDescent="0.25">
      <c r="A54" t="s">
        <v>271</v>
      </c>
      <c r="B54" t="s">
        <v>238</v>
      </c>
      <c r="C54" t="s">
        <v>175</v>
      </c>
      <c r="D54" t="s">
        <v>147</v>
      </c>
      <c r="E54" t="s">
        <v>66</v>
      </c>
      <c r="F54">
        <v>169</v>
      </c>
      <c r="G54">
        <v>202800</v>
      </c>
      <c r="H54">
        <v>67600</v>
      </c>
      <c r="I54" t="s">
        <v>9</v>
      </c>
    </row>
    <row r="55" spans="1:9" x14ac:dyDescent="0.25">
      <c r="A55" t="s">
        <v>272</v>
      </c>
      <c r="B55" t="s">
        <v>195</v>
      </c>
      <c r="C55" t="s">
        <v>181</v>
      </c>
      <c r="D55" t="s">
        <v>165</v>
      </c>
      <c r="E55" t="s">
        <v>64</v>
      </c>
      <c r="F55">
        <v>12</v>
      </c>
      <c r="G55">
        <v>6000</v>
      </c>
      <c r="H55">
        <v>2400</v>
      </c>
      <c r="I55" t="s">
        <v>30</v>
      </c>
    </row>
    <row r="56" spans="1:9" x14ac:dyDescent="0.25">
      <c r="A56" t="s">
        <v>273</v>
      </c>
      <c r="B56" t="s">
        <v>221</v>
      </c>
      <c r="C56" t="s">
        <v>179</v>
      </c>
      <c r="D56" t="s">
        <v>140</v>
      </c>
      <c r="E56" t="s">
        <v>96</v>
      </c>
      <c r="F56">
        <v>72</v>
      </c>
      <c r="G56">
        <v>1440</v>
      </c>
      <c r="H56">
        <v>576</v>
      </c>
      <c r="I56" t="s">
        <v>9</v>
      </c>
    </row>
    <row r="57" spans="1:9" x14ac:dyDescent="0.25">
      <c r="A57" t="s">
        <v>274</v>
      </c>
      <c r="B57" t="s">
        <v>246</v>
      </c>
      <c r="C57" t="s">
        <v>175</v>
      </c>
      <c r="D57" t="s">
        <v>169</v>
      </c>
      <c r="E57" t="s">
        <v>76</v>
      </c>
      <c r="F57">
        <v>93</v>
      </c>
      <c r="G57">
        <v>111600</v>
      </c>
      <c r="H57">
        <v>37200</v>
      </c>
      <c r="I57" t="s">
        <v>30</v>
      </c>
    </row>
    <row r="58" spans="1:9" x14ac:dyDescent="0.25">
      <c r="A58" t="s">
        <v>275</v>
      </c>
      <c r="B58" t="s">
        <v>195</v>
      </c>
      <c r="C58" t="s">
        <v>179</v>
      </c>
      <c r="D58" t="s">
        <v>157</v>
      </c>
      <c r="E58" t="s">
        <v>98</v>
      </c>
      <c r="F58">
        <v>135</v>
      </c>
      <c r="G58">
        <v>2700</v>
      </c>
      <c r="H58">
        <v>1080</v>
      </c>
      <c r="I58" t="s">
        <v>30</v>
      </c>
    </row>
    <row r="59" spans="1:9" x14ac:dyDescent="0.25">
      <c r="A59" t="s">
        <v>276</v>
      </c>
      <c r="B59" t="s">
        <v>221</v>
      </c>
      <c r="C59" t="s">
        <v>181</v>
      </c>
      <c r="D59" t="s">
        <v>167</v>
      </c>
      <c r="E59" t="s">
        <v>44</v>
      </c>
      <c r="F59">
        <v>70</v>
      </c>
      <c r="G59">
        <v>35000</v>
      </c>
      <c r="H59">
        <v>14000</v>
      </c>
      <c r="I59" t="s">
        <v>30</v>
      </c>
    </row>
    <row r="60" spans="1:9" x14ac:dyDescent="0.25">
      <c r="A60" t="s">
        <v>277</v>
      </c>
      <c r="B60" t="s">
        <v>235</v>
      </c>
      <c r="C60" t="s">
        <v>185</v>
      </c>
      <c r="D60" t="s">
        <v>157</v>
      </c>
      <c r="E60" t="s">
        <v>5</v>
      </c>
      <c r="F60">
        <v>138</v>
      </c>
      <c r="G60">
        <v>276000</v>
      </c>
      <c r="H60">
        <v>82800</v>
      </c>
      <c r="I60" t="s">
        <v>9</v>
      </c>
    </row>
    <row r="61" spans="1:9" x14ac:dyDescent="0.25">
      <c r="A61" t="s">
        <v>278</v>
      </c>
      <c r="B61" t="s">
        <v>279</v>
      </c>
      <c r="C61" t="s">
        <v>183</v>
      </c>
      <c r="D61" t="s">
        <v>142</v>
      </c>
      <c r="E61" t="s">
        <v>68</v>
      </c>
      <c r="F61">
        <v>115</v>
      </c>
      <c r="G61">
        <v>34500</v>
      </c>
      <c r="H61">
        <v>13800</v>
      </c>
      <c r="I61" t="s">
        <v>41</v>
      </c>
    </row>
    <row r="62" spans="1:9" x14ac:dyDescent="0.25">
      <c r="A62" t="s">
        <v>280</v>
      </c>
      <c r="B62" t="s">
        <v>269</v>
      </c>
      <c r="C62" t="s">
        <v>185</v>
      </c>
      <c r="D62" t="s">
        <v>151</v>
      </c>
      <c r="E62" t="s">
        <v>100</v>
      </c>
      <c r="F62">
        <v>85</v>
      </c>
      <c r="G62">
        <v>170000</v>
      </c>
      <c r="H62">
        <v>51000</v>
      </c>
      <c r="I62" t="s">
        <v>9</v>
      </c>
    </row>
    <row r="63" spans="1:9" x14ac:dyDescent="0.25">
      <c r="A63" t="s">
        <v>281</v>
      </c>
      <c r="B63" t="s">
        <v>269</v>
      </c>
      <c r="C63" t="s">
        <v>175</v>
      </c>
      <c r="D63" t="s">
        <v>149</v>
      </c>
      <c r="E63" t="s">
        <v>86</v>
      </c>
      <c r="F63">
        <v>84</v>
      </c>
      <c r="G63">
        <v>100800</v>
      </c>
      <c r="H63">
        <v>33600</v>
      </c>
      <c r="I63" t="s">
        <v>21</v>
      </c>
    </row>
    <row r="64" spans="1:9" x14ac:dyDescent="0.25">
      <c r="A64" t="s">
        <v>282</v>
      </c>
      <c r="B64" t="s">
        <v>283</v>
      </c>
      <c r="C64" t="s">
        <v>181</v>
      </c>
      <c r="D64" t="s">
        <v>151</v>
      </c>
      <c r="E64" t="s">
        <v>72</v>
      </c>
      <c r="F64">
        <v>183</v>
      </c>
      <c r="G64">
        <v>91500</v>
      </c>
      <c r="H64">
        <v>36600</v>
      </c>
      <c r="I64" t="s">
        <v>14</v>
      </c>
    </row>
    <row r="65" spans="1:9" x14ac:dyDescent="0.25">
      <c r="A65" t="s">
        <v>284</v>
      </c>
      <c r="B65" t="s">
        <v>269</v>
      </c>
      <c r="C65" t="s">
        <v>183</v>
      </c>
      <c r="D65" t="s">
        <v>138</v>
      </c>
      <c r="E65" t="s">
        <v>44</v>
      </c>
      <c r="F65">
        <v>112</v>
      </c>
      <c r="G65">
        <v>33600</v>
      </c>
      <c r="H65">
        <v>13440</v>
      </c>
      <c r="I65" t="s">
        <v>30</v>
      </c>
    </row>
    <row r="66" spans="1:9" x14ac:dyDescent="0.25">
      <c r="A66" t="s">
        <v>285</v>
      </c>
      <c r="B66" t="s">
        <v>283</v>
      </c>
      <c r="C66" t="s">
        <v>181</v>
      </c>
      <c r="D66" t="s">
        <v>140</v>
      </c>
      <c r="E66" t="s">
        <v>100</v>
      </c>
      <c r="F66">
        <v>150</v>
      </c>
      <c r="G66">
        <v>75000</v>
      </c>
      <c r="H66">
        <v>30000</v>
      </c>
      <c r="I66" t="s">
        <v>9</v>
      </c>
    </row>
    <row r="67" spans="1:9" x14ac:dyDescent="0.25">
      <c r="A67" t="s">
        <v>286</v>
      </c>
      <c r="B67" t="s">
        <v>283</v>
      </c>
      <c r="C67" t="s">
        <v>181</v>
      </c>
      <c r="D67" t="s">
        <v>165</v>
      </c>
      <c r="E67" t="s">
        <v>5</v>
      </c>
      <c r="F67">
        <v>82</v>
      </c>
      <c r="G67">
        <v>41000</v>
      </c>
      <c r="H67">
        <v>16400</v>
      </c>
      <c r="I67" t="s">
        <v>9</v>
      </c>
    </row>
    <row r="68" spans="1:9" x14ac:dyDescent="0.25">
      <c r="A68" t="s">
        <v>287</v>
      </c>
      <c r="B68" t="s">
        <v>199</v>
      </c>
      <c r="C68" t="s">
        <v>177</v>
      </c>
      <c r="D68" t="s">
        <v>157</v>
      </c>
      <c r="E68" t="s">
        <v>96</v>
      </c>
      <c r="F68">
        <v>160</v>
      </c>
      <c r="G68">
        <v>24000</v>
      </c>
      <c r="H68">
        <v>9600</v>
      </c>
      <c r="I68" t="s">
        <v>9</v>
      </c>
    </row>
    <row r="69" spans="1:9" x14ac:dyDescent="0.25">
      <c r="A69" t="s">
        <v>288</v>
      </c>
      <c r="B69" t="s">
        <v>269</v>
      </c>
      <c r="C69" t="s">
        <v>179</v>
      </c>
      <c r="D69" t="s">
        <v>159</v>
      </c>
      <c r="E69" t="s">
        <v>78</v>
      </c>
      <c r="F69">
        <v>118</v>
      </c>
      <c r="G69">
        <v>2360</v>
      </c>
      <c r="H69">
        <v>944</v>
      </c>
      <c r="I69" t="s">
        <v>14</v>
      </c>
    </row>
    <row r="70" spans="1:9" x14ac:dyDescent="0.25">
      <c r="A70" t="s">
        <v>289</v>
      </c>
      <c r="B70" t="s">
        <v>210</v>
      </c>
      <c r="C70" t="s">
        <v>177</v>
      </c>
      <c r="D70" t="s">
        <v>163</v>
      </c>
      <c r="E70" t="s">
        <v>82</v>
      </c>
      <c r="F70">
        <v>193</v>
      </c>
      <c r="G70">
        <v>28950</v>
      </c>
      <c r="H70">
        <v>11580</v>
      </c>
      <c r="I70" t="s">
        <v>30</v>
      </c>
    </row>
    <row r="71" spans="1:9" x14ac:dyDescent="0.25">
      <c r="A71" t="s">
        <v>290</v>
      </c>
      <c r="B71" t="s">
        <v>269</v>
      </c>
      <c r="C71" t="s">
        <v>185</v>
      </c>
      <c r="D71" t="s">
        <v>132</v>
      </c>
      <c r="E71" t="s">
        <v>58</v>
      </c>
      <c r="F71">
        <v>136</v>
      </c>
      <c r="G71">
        <v>272000</v>
      </c>
      <c r="H71">
        <v>81600</v>
      </c>
      <c r="I71" t="s">
        <v>41</v>
      </c>
    </row>
    <row r="72" spans="1:9" x14ac:dyDescent="0.25">
      <c r="A72" t="s">
        <v>291</v>
      </c>
      <c r="B72" t="s">
        <v>251</v>
      </c>
      <c r="C72" t="s">
        <v>185</v>
      </c>
      <c r="D72" t="s">
        <v>169</v>
      </c>
      <c r="E72" t="s">
        <v>64</v>
      </c>
      <c r="F72">
        <v>28</v>
      </c>
      <c r="G72">
        <v>56000</v>
      </c>
      <c r="H72">
        <v>16800</v>
      </c>
      <c r="I72" t="s">
        <v>30</v>
      </c>
    </row>
    <row r="73" spans="1:9" x14ac:dyDescent="0.25">
      <c r="A73" t="s">
        <v>292</v>
      </c>
      <c r="B73" t="s">
        <v>293</v>
      </c>
      <c r="C73" t="s">
        <v>177</v>
      </c>
      <c r="D73" t="s">
        <v>149</v>
      </c>
      <c r="E73" t="s">
        <v>48</v>
      </c>
      <c r="F73">
        <v>55</v>
      </c>
      <c r="G73">
        <v>8250</v>
      </c>
      <c r="H73">
        <v>3300</v>
      </c>
      <c r="I73" t="s">
        <v>14</v>
      </c>
    </row>
    <row r="74" spans="1:9" x14ac:dyDescent="0.25">
      <c r="A74" t="s">
        <v>294</v>
      </c>
      <c r="B74" t="s">
        <v>226</v>
      </c>
      <c r="C74" t="s">
        <v>175</v>
      </c>
      <c r="D74" t="s">
        <v>129</v>
      </c>
      <c r="E74" t="s">
        <v>50</v>
      </c>
      <c r="F74">
        <v>126</v>
      </c>
      <c r="G74">
        <v>151200</v>
      </c>
      <c r="H74">
        <v>50400</v>
      </c>
      <c r="I74" t="s">
        <v>14</v>
      </c>
    </row>
    <row r="75" spans="1:9" x14ac:dyDescent="0.25">
      <c r="A75" t="s">
        <v>295</v>
      </c>
      <c r="B75" t="s">
        <v>223</v>
      </c>
      <c r="C75" t="s">
        <v>175</v>
      </c>
      <c r="D75" t="s">
        <v>159</v>
      </c>
      <c r="E75" t="s">
        <v>74</v>
      </c>
      <c r="F75">
        <v>166</v>
      </c>
      <c r="G75">
        <v>199200</v>
      </c>
      <c r="H75">
        <v>66400</v>
      </c>
      <c r="I75" t="s">
        <v>9</v>
      </c>
    </row>
    <row r="76" spans="1:9" x14ac:dyDescent="0.25">
      <c r="A76" t="s">
        <v>296</v>
      </c>
      <c r="B76" t="s">
        <v>193</v>
      </c>
      <c r="C76" t="s">
        <v>177</v>
      </c>
      <c r="D76" t="s">
        <v>155</v>
      </c>
      <c r="E76" t="s">
        <v>84</v>
      </c>
      <c r="F76">
        <v>107</v>
      </c>
      <c r="G76">
        <v>16050</v>
      </c>
      <c r="H76">
        <v>6420</v>
      </c>
      <c r="I76" t="s">
        <v>18</v>
      </c>
    </row>
    <row r="77" spans="1:9" x14ac:dyDescent="0.25">
      <c r="A77" t="s">
        <v>297</v>
      </c>
      <c r="B77" t="s">
        <v>253</v>
      </c>
      <c r="C77" t="s">
        <v>177</v>
      </c>
      <c r="D77" t="s">
        <v>126</v>
      </c>
      <c r="E77" t="s">
        <v>118</v>
      </c>
      <c r="F77">
        <v>32</v>
      </c>
      <c r="G77">
        <v>4800</v>
      </c>
      <c r="H77">
        <v>1920</v>
      </c>
      <c r="I77" t="s">
        <v>30</v>
      </c>
    </row>
    <row r="78" spans="1:9" x14ac:dyDescent="0.25">
      <c r="A78" t="s">
        <v>298</v>
      </c>
      <c r="B78" t="s">
        <v>238</v>
      </c>
      <c r="C78" t="s">
        <v>181</v>
      </c>
      <c r="D78" t="s">
        <v>145</v>
      </c>
      <c r="E78" t="s">
        <v>42</v>
      </c>
      <c r="F78">
        <v>183</v>
      </c>
      <c r="G78">
        <v>91500</v>
      </c>
      <c r="H78">
        <v>36600</v>
      </c>
      <c r="I78" t="s">
        <v>9</v>
      </c>
    </row>
    <row r="79" spans="1:9" x14ac:dyDescent="0.25">
      <c r="A79" t="s">
        <v>299</v>
      </c>
      <c r="B79" t="s">
        <v>235</v>
      </c>
      <c r="C79" t="s">
        <v>181</v>
      </c>
      <c r="D79" t="s">
        <v>129</v>
      </c>
      <c r="E79" t="s">
        <v>92</v>
      </c>
      <c r="F79">
        <v>68</v>
      </c>
      <c r="G79">
        <v>34000</v>
      </c>
      <c r="H79">
        <v>13600</v>
      </c>
      <c r="I79" t="s">
        <v>41</v>
      </c>
    </row>
    <row r="80" spans="1:9" x14ac:dyDescent="0.25">
      <c r="A80" t="s">
        <v>300</v>
      </c>
      <c r="B80" t="s">
        <v>269</v>
      </c>
      <c r="C80" t="s">
        <v>175</v>
      </c>
      <c r="D80" t="s">
        <v>159</v>
      </c>
      <c r="E80" t="s">
        <v>34</v>
      </c>
      <c r="F80">
        <v>123</v>
      </c>
      <c r="G80">
        <v>147600</v>
      </c>
      <c r="H80">
        <v>49200</v>
      </c>
      <c r="I80" t="s">
        <v>14</v>
      </c>
    </row>
    <row r="81" spans="1:9" x14ac:dyDescent="0.25">
      <c r="A81" t="s">
        <v>301</v>
      </c>
      <c r="B81" t="s">
        <v>219</v>
      </c>
      <c r="C81" t="s">
        <v>183</v>
      </c>
      <c r="D81" t="s">
        <v>165</v>
      </c>
      <c r="E81" t="s">
        <v>98</v>
      </c>
      <c r="F81">
        <v>86</v>
      </c>
      <c r="G81">
        <v>25800</v>
      </c>
      <c r="H81">
        <v>10320</v>
      </c>
      <c r="I81" t="s">
        <v>30</v>
      </c>
    </row>
    <row r="82" spans="1:9" x14ac:dyDescent="0.25">
      <c r="A82" t="s">
        <v>302</v>
      </c>
      <c r="B82" t="s">
        <v>197</v>
      </c>
      <c r="C82" t="s">
        <v>181</v>
      </c>
      <c r="D82" t="s">
        <v>169</v>
      </c>
      <c r="E82" t="s">
        <v>114</v>
      </c>
      <c r="F82">
        <v>134</v>
      </c>
      <c r="G82">
        <v>67000</v>
      </c>
      <c r="H82">
        <v>26800</v>
      </c>
      <c r="I82" t="s">
        <v>21</v>
      </c>
    </row>
    <row r="83" spans="1:9" x14ac:dyDescent="0.25">
      <c r="A83" t="s">
        <v>303</v>
      </c>
      <c r="B83" t="s">
        <v>212</v>
      </c>
      <c r="C83" t="s">
        <v>183</v>
      </c>
      <c r="D83" t="s">
        <v>159</v>
      </c>
      <c r="E83" t="s">
        <v>39</v>
      </c>
      <c r="F83">
        <v>195</v>
      </c>
      <c r="G83">
        <v>58500</v>
      </c>
      <c r="H83">
        <v>23400</v>
      </c>
      <c r="I83" t="s">
        <v>41</v>
      </c>
    </row>
    <row r="84" spans="1:9" x14ac:dyDescent="0.25">
      <c r="A84" t="s">
        <v>304</v>
      </c>
      <c r="B84" t="s">
        <v>193</v>
      </c>
      <c r="C84" t="s">
        <v>181</v>
      </c>
      <c r="D84" t="s">
        <v>159</v>
      </c>
      <c r="E84" t="s">
        <v>53</v>
      </c>
      <c r="F84">
        <v>197</v>
      </c>
      <c r="G84">
        <v>98500</v>
      </c>
      <c r="H84">
        <v>39400</v>
      </c>
      <c r="I84" t="s">
        <v>21</v>
      </c>
    </row>
    <row r="85" spans="1:9" x14ac:dyDescent="0.25">
      <c r="A85" t="s">
        <v>305</v>
      </c>
      <c r="B85" t="s">
        <v>217</v>
      </c>
      <c r="C85" t="s">
        <v>185</v>
      </c>
      <c r="D85" t="s">
        <v>147</v>
      </c>
      <c r="E85" t="s">
        <v>120</v>
      </c>
      <c r="F85">
        <v>138</v>
      </c>
      <c r="G85">
        <v>276000</v>
      </c>
      <c r="H85">
        <v>82800</v>
      </c>
      <c r="I85" t="s">
        <v>18</v>
      </c>
    </row>
    <row r="86" spans="1:9" x14ac:dyDescent="0.25">
      <c r="A86" t="s">
        <v>306</v>
      </c>
      <c r="B86" t="s">
        <v>279</v>
      </c>
      <c r="C86" t="s">
        <v>185</v>
      </c>
      <c r="D86" t="s">
        <v>145</v>
      </c>
      <c r="E86" t="s">
        <v>55</v>
      </c>
      <c r="F86">
        <v>117</v>
      </c>
      <c r="G86">
        <v>234000</v>
      </c>
      <c r="H86">
        <v>70200</v>
      </c>
      <c r="I86" t="s">
        <v>9</v>
      </c>
    </row>
    <row r="87" spans="1:9" x14ac:dyDescent="0.25">
      <c r="A87" t="s">
        <v>307</v>
      </c>
      <c r="B87" t="s">
        <v>201</v>
      </c>
      <c r="C87" t="s">
        <v>185</v>
      </c>
      <c r="D87" t="s">
        <v>149</v>
      </c>
      <c r="E87" t="s">
        <v>50</v>
      </c>
      <c r="F87">
        <v>74</v>
      </c>
      <c r="G87">
        <v>148000</v>
      </c>
      <c r="H87">
        <v>44400</v>
      </c>
      <c r="I87" t="s">
        <v>14</v>
      </c>
    </row>
    <row r="88" spans="1:9" x14ac:dyDescent="0.25">
      <c r="A88" t="s">
        <v>308</v>
      </c>
      <c r="B88" t="s">
        <v>293</v>
      </c>
      <c r="C88" t="s">
        <v>179</v>
      </c>
      <c r="D88" t="s">
        <v>165</v>
      </c>
      <c r="E88" t="s">
        <v>25</v>
      </c>
      <c r="F88">
        <v>40</v>
      </c>
      <c r="G88">
        <v>800</v>
      </c>
      <c r="H88">
        <v>320</v>
      </c>
      <c r="I88" t="s">
        <v>9</v>
      </c>
    </row>
    <row r="89" spans="1:9" x14ac:dyDescent="0.25">
      <c r="A89" t="s">
        <v>309</v>
      </c>
      <c r="B89" t="s">
        <v>310</v>
      </c>
      <c r="C89" t="s">
        <v>177</v>
      </c>
      <c r="D89" t="s">
        <v>155</v>
      </c>
      <c r="E89" t="s">
        <v>110</v>
      </c>
      <c r="F89">
        <v>44</v>
      </c>
      <c r="G89">
        <v>6600</v>
      </c>
      <c r="H89">
        <v>2640</v>
      </c>
      <c r="I89" t="s">
        <v>21</v>
      </c>
    </row>
    <row r="90" spans="1:9" x14ac:dyDescent="0.25">
      <c r="A90" t="s">
        <v>311</v>
      </c>
      <c r="B90" t="s">
        <v>201</v>
      </c>
      <c r="C90" t="s">
        <v>177</v>
      </c>
      <c r="D90" t="s">
        <v>132</v>
      </c>
      <c r="E90" t="s">
        <v>74</v>
      </c>
      <c r="F90">
        <v>109</v>
      </c>
      <c r="G90">
        <v>16350</v>
      </c>
      <c r="H90">
        <v>6540</v>
      </c>
      <c r="I90" t="s">
        <v>9</v>
      </c>
    </row>
    <row r="91" spans="1:9" x14ac:dyDescent="0.25">
      <c r="A91" t="s">
        <v>312</v>
      </c>
      <c r="B91" t="s">
        <v>231</v>
      </c>
      <c r="C91" t="s">
        <v>183</v>
      </c>
      <c r="D91" t="s">
        <v>159</v>
      </c>
      <c r="E91" t="s">
        <v>74</v>
      </c>
      <c r="F91">
        <v>20</v>
      </c>
      <c r="G91">
        <v>6000</v>
      </c>
      <c r="H91">
        <v>2400</v>
      </c>
      <c r="I91" t="s">
        <v>9</v>
      </c>
    </row>
    <row r="92" spans="1:9" x14ac:dyDescent="0.25">
      <c r="A92" t="s">
        <v>313</v>
      </c>
      <c r="B92" t="s">
        <v>219</v>
      </c>
      <c r="C92" t="s">
        <v>181</v>
      </c>
      <c r="D92" t="s">
        <v>155</v>
      </c>
      <c r="E92" t="s">
        <v>120</v>
      </c>
      <c r="F92">
        <v>154</v>
      </c>
      <c r="G92">
        <v>77000</v>
      </c>
      <c r="H92">
        <v>30800</v>
      </c>
      <c r="I92" t="s">
        <v>18</v>
      </c>
    </row>
    <row r="93" spans="1:9" x14ac:dyDescent="0.25">
      <c r="A93" t="s">
        <v>314</v>
      </c>
      <c r="B93" t="s">
        <v>233</v>
      </c>
      <c r="C93" t="s">
        <v>185</v>
      </c>
      <c r="D93" t="s">
        <v>126</v>
      </c>
      <c r="E93" t="s">
        <v>118</v>
      </c>
      <c r="F93">
        <v>152</v>
      </c>
      <c r="G93">
        <v>304000</v>
      </c>
      <c r="H93">
        <v>91200</v>
      </c>
      <c r="I93" t="s">
        <v>30</v>
      </c>
    </row>
    <row r="94" spans="1:9" x14ac:dyDescent="0.25">
      <c r="A94" t="s">
        <v>315</v>
      </c>
      <c r="B94" t="s">
        <v>253</v>
      </c>
      <c r="C94" t="s">
        <v>181</v>
      </c>
      <c r="D94" t="s">
        <v>126</v>
      </c>
      <c r="E94" t="s">
        <v>66</v>
      </c>
      <c r="F94">
        <v>81</v>
      </c>
      <c r="G94">
        <v>40500</v>
      </c>
      <c r="H94">
        <v>16200</v>
      </c>
      <c r="I94" t="s">
        <v>9</v>
      </c>
    </row>
    <row r="95" spans="1:9" x14ac:dyDescent="0.25">
      <c r="A95" t="s">
        <v>316</v>
      </c>
      <c r="B95" t="s">
        <v>246</v>
      </c>
      <c r="C95" t="s">
        <v>181</v>
      </c>
      <c r="D95" t="s">
        <v>157</v>
      </c>
      <c r="E95" t="s">
        <v>90</v>
      </c>
      <c r="F95">
        <v>196</v>
      </c>
      <c r="G95">
        <v>98000</v>
      </c>
      <c r="H95">
        <v>39200</v>
      </c>
      <c r="I95" t="s">
        <v>30</v>
      </c>
    </row>
    <row r="96" spans="1:9" x14ac:dyDescent="0.25">
      <c r="A96" t="s">
        <v>317</v>
      </c>
      <c r="B96" t="s">
        <v>193</v>
      </c>
      <c r="C96" t="s">
        <v>183</v>
      </c>
      <c r="D96" t="s">
        <v>169</v>
      </c>
      <c r="E96" t="s">
        <v>48</v>
      </c>
      <c r="F96">
        <v>129</v>
      </c>
      <c r="G96">
        <v>38700</v>
      </c>
      <c r="H96">
        <v>15480</v>
      </c>
      <c r="I96" t="s">
        <v>14</v>
      </c>
    </row>
    <row r="97" spans="1:9" x14ac:dyDescent="0.25">
      <c r="A97" t="s">
        <v>318</v>
      </c>
      <c r="B97" t="s">
        <v>233</v>
      </c>
      <c r="C97" t="s">
        <v>179</v>
      </c>
      <c r="D97" t="s">
        <v>157</v>
      </c>
      <c r="E97" t="s">
        <v>84</v>
      </c>
      <c r="F97">
        <v>12</v>
      </c>
      <c r="G97">
        <v>240</v>
      </c>
      <c r="H97">
        <v>96</v>
      </c>
      <c r="I97" t="s">
        <v>18</v>
      </c>
    </row>
    <row r="98" spans="1:9" x14ac:dyDescent="0.25">
      <c r="A98" t="s">
        <v>319</v>
      </c>
      <c r="B98" t="s">
        <v>251</v>
      </c>
      <c r="C98" t="s">
        <v>179</v>
      </c>
      <c r="D98" t="s">
        <v>155</v>
      </c>
      <c r="E98" t="s">
        <v>114</v>
      </c>
      <c r="F98">
        <v>47</v>
      </c>
      <c r="G98">
        <v>940</v>
      </c>
      <c r="H98">
        <v>376</v>
      </c>
      <c r="I98" t="s">
        <v>21</v>
      </c>
    </row>
    <row r="99" spans="1:9" x14ac:dyDescent="0.25">
      <c r="A99" t="s">
        <v>320</v>
      </c>
      <c r="B99" t="s">
        <v>214</v>
      </c>
      <c r="C99" t="s">
        <v>181</v>
      </c>
      <c r="D99" t="s">
        <v>138</v>
      </c>
      <c r="E99" t="s">
        <v>100</v>
      </c>
      <c r="F99">
        <v>141</v>
      </c>
      <c r="G99">
        <v>70500</v>
      </c>
      <c r="H99">
        <v>28200</v>
      </c>
      <c r="I99" t="s">
        <v>9</v>
      </c>
    </row>
    <row r="100" spans="1:9" x14ac:dyDescent="0.25">
      <c r="A100" t="s">
        <v>321</v>
      </c>
      <c r="B100" t="s">
        <v>214</v>
      </c>
      <c r="C100" t="s">
        <v>181</v>
      </c>
      <c r="D100" t="s">
        <v>167</v>
      </c>
      <c r="E100" t="s">
        <v>94</v>
      </c>
      <c r="F100">
        <v>174</v>
      </c>
      <c r="G100">
        <v>87000</v>
      </c>
      <c r="H100">
        <v>34800</v>
      </c>
      <c r="I100" t="s">
        <v>9</v>
      </c>
    </row>
    <row r="101" spans="1:9" x14ac:dyDescent="0.25">
      <c r="A101" t="s">
        <v>322</v>
      </c>
      <c r="B101" t="s">
        <v>210</v>
      </c>
      <c r="C101" t="s">
        <v>175</v>
      </c>
      <c r="D101" t="s">
        <v>157</v>
      </c>
      <c r="E101" t="s">
        <v>34</v>
      </c>
      <c r="F101">
        <v>123</v>
      </c>
      <c r="G101">
        <v>147600</v>
      </c>
      <c r="H101">
        <v>49200</v>
      </c>
      <c r="I101" t="s">
        <v>14</v>
      </c>
    </row>
    <row r="102" spans="1:9" x14ac:dyDescent="0.25">
      <c r="A102" t="s">
        <v>323</v>
      </c>
      <c r="B102" t="s">
        <v>231</v>
      </c>
      <c r="C102" t="s">
        <v>175</v>
      </c>
      <c r="D102" t="s">
        <v>147</v>
      </c>
      <c r="E102" t="s">
        <v>70</v>
      </c>
      <c r="F102">
        <v>60</v>
      </c>
      <c r="G102">
        <v>72000</v>
      </c>
      <c r="H102">
        <v>35200</v>
      </c>
      <c r="I102" t="s">
        <v>41</v>
      </c>
    </row>
    <row r="103" spans="1:9" x14ac:dyDescent="0.25">
      <c r="A103" t="s">
        <v>324</v>
      </c>
      <c r="B103" t="s">
        <v>240</v>
      </c>
      <c r="C103" t="s">
        <v>181</v>
      </c>
      <c r="D103" t="s">
        <v>151</v>
      </c>
      <c r="E103" t="s">
        <v>64</v>
      </c>
      <c r="F103">
        <v>199</v>
      </c>
      <c r="G103">
        <v>99500</v>
      </c>
      <c r="H103">
        <v>39800</v>
      </c>
      <c r="I103" t="s">
        <v>30</v>
      </c>
    </row>
    <row r="104" spans="1:9" x14ac:dyDescent="0.25">
      <c r="A104" t="s">
        <v>325</v>
      </c>
      <c r="B104" t="s">
        <v>205</v>
      </c>
      <c r="C104" t="s">
        <v>181</v>
      </c>
      <c r="D104" t="s">
        <v>147</v>
      </c>
      <c r="E104" t="s">
        <v>118</v>
      </c>
      <c r="F104">
        <v>112</v>
      </c>
      <c r="G104">
        <v>56000</v>
      </c>
      <c r="H104">
        <v>22400</v>
      </c>
      <c r="I104" t="s">
        <v>30</v>
      </c>
    </row>
    <row r="105" spans="1:9" x14ac:dyDescent="0.25">
      <c r="A105" t="s">
        <v>326</v>
      </c>
      <c r="B105" t="s">
        <v>203</v>
      </c>
      <c r="C105" t="s">
        <v>175</v>
      </c>
      <c r="D105" t="s">
        <v>161</v>
      </c>
      <c r="E105" t="s">
        <v>10</v>
      </c>
      <c r="F105">
        <v>196</v>
      </c>
      <c r="G105">
        <v>235200</v>
      </c>
      <c r="H105">
        <v>78400</v>
      </c>
      <c r="I105" t="s">
        <v>14</v>
      </c>
    </row>
    <row r="106" spans="1:9" x14ac:dyDescent="0.25">
      <c r="A106" t="s">
        <v>327</v>
      </c>
      <c r="B106" t="s">
        <v>279</v>
      </c>
      <c r="C106" t="s">
        <v>175</v>
      </c>
      <c r="D106" t="s">
        <v>153</v>
      </c>
      <c r="E106" t="s">
        <v>48</v>
      </c>
      <c r="F106">
        <v>171</v>
      </c>
      <c r="G106">
        <v>205200</v>
      </c>
      <c r="H106">
        <v>68400</v>
      </c>
      <c r="I106" t="s">
        <v>14</v>
      </c>
    </row>
    <row r="107" spans="1:9" x14ac:dyDescent="0.25">
      <c r="A107" t="s">
        <v>328</v>
      </c>
      <c r="B107" t="s">
        <v>219</v>
      </c>
      <c r="C107" t="s">
        <v>185</v>
      </c>
      <c r="D107" t="s">
        <v>129</v>
      </c>
      <c r="E107" t="s">
        <v>118</v>
      </c>
      <c r="F107">
        <v>12</v>
      </c>
      <c r="G107">
        <v>24000</v>
      </c>
      <c r="H107">
        <v>7200</v>
      </c>
      <c r="I107" t="s">
        <v>30</v>
      </c>
    </row>
    <row r="108" spans="1:9" x14ac:dyDescent="0.25">
      <c r="A108" t="s">
        <v>329</v>
      </c>
      <c r="B108" t="s">
        <v>293</v>
      </c>
      <c r="C108" t="s">
        <v>177</v>
      </c>
      <c r="D108" t="s">
        <v>142</v>
      </c>
      <c r="E108" t="s">
        <v>10</v>
      </c>
      <c r="F108">
        <v>164</v>
      </c>
      <c r="G108">
        <v>24600</v>
      </c>
      <c r="H108">
        <v>9840</v>
      </c>
      <c r="I108" t="s">
        <v>14</v>
      </c>
    </row>
    <row r="109" spans="1:9" x14ac:dyDescent="0.25">
      <c r="A109" t="s">
        <v>330</v>
      </c>
      <c r="B109" t="s">
        <v>195</v>
      </c>
      <c r="C109" t="s">
        <v>177</v>
      </c>
      <c r="D109" t="s">
        <v>138</v>
      </c>
      <c r="E109" t="s">
        <v>82</v>
      </c>
      <c r="F109">
        <v>176</v>
      </c>
      <c r="G109">
        <v>26400</v>
      </c>
      <c r="H109">
        <v>10560</v>
      </c>
      <c r="I109" t="s">
        <v>30</v>
      </c>
    </row>
    <row r="110" spans="1:9" x14ac:dyDescent="0.25">
      <c r="A110" t="s">
        <v>331</v>
      </c>
      <c r="B110" t="s">
        <v>205</v>
      </c>
      <c r="C110" t="s">
        <v>183</v>
      </c>
      <c r="D110" t="s">
        <v>142</v>
      </c>
      <c r="E110" t="s">
        <v>80</v>
      </c>
      <c r="F110">
        <v>184</v>
      </c>
      <c r="G110">
        <v>55200</v>
      </c>
      <c r="H110">
        <v>22080</v>
      </c>
      <c r="I110" t="s">
        <v>9</v>
      </c>
    </row>
    <row r="111" spans="1:9" x14ac:dyDescent="0.25">
      <c r="A111" t="s">
        <v>332</v>
      </c>
      <c r="B111" t="s">
        <v>219</v>
      </c>
      <c r="C111" t="s">
        <v>179</v>
      </c>
      <c r="D111" t="s">
        <v>140</v>
      </c>
      <c r="E111" t="s">
        <v>98</v>
      </c>
      <c r="F111">
        <v>160</v>
      </c>
      <c r="G111">
        <v>3200</v>
      </c>
      <c r="H111">
        <v>1280</v>
      </c>
      <c r="I111" t="s">
        <v>30</v>
      </c>
    </row>
    <row r="112" spans="1:9" x14ac:dyDescent="0.25">
      <c r="A112" t="s">
        <v>333</v>
      </c>
      <c r="B112" t="s">
        <v>219</v>
      </c>
      <c r="C112" t="s">
        <v>185</v>
      </c>
      <c r="D112" t="s">
        <v>135</v>
      </c>
      <c r="E112" t="s">
        <v>120</v>
      </c>
      <c r="F112">
        <v>46</v>
      </c>
      <c r="G112">
        <v>92000</v>
      </c>
      <c r="H112">
        <v>27600</v>
      </c>
      <c r="I112" t="s">
        <v>18</v>
      </c>
    </row>
    <row r="113" spans="1:9" x14ac:dyDescent="0.25">
      <c r="A113" t="s">
        <v>334</v>
      </c>
      <c r="B113" t="s">
        <v>235</v>
      </c>
      <c r="C113" t="s">
        <v>179</v>
      </c>
      <c r="D113" t="s">
        <v>135</v>
      </c>
      <c r="E113" t="s">
        <v>96</v>
      </c>
      <c r="F113">
        <v>11</v>
      </c>
      <c r="G113">
        <v>220</v>
      </c>
      <c r="H113">
        <v>88</v>
      </c>
      <c r="I113" t="s">
        <v>9</v>
      </c>
    </row>
    <row r="114" spans="1:9" x14ac:dyDescent="0.25">
      <c r="A114" t="s">
        <v>335</v>
      </c>
      <c r="B114" t="s">
        <v>233</v>
      </c>
      <c r="C114" t="s">
        <v>179</v>
      </c>
      <c r="D114" t="s">
        <v>167</v>
      </c>
      <c r="E114" t="s">
        <v>108</v>
      </c>
      <c r="F114">
        <v>101</v>
      </c>
      <c r="G114">
        <v>2020</v>
      </c>
      <c r="H114">
        <v>808</v>
      </c>
      <c r="I114" t="s">
        <v>21</v>
      </c>
    </row>
    <row r="115" spans="1:9" x14ac:dyDescent="0.25">
      <c r="A115" t="s">
        <v>336</v>
      </c>
      <c r="B115" t="s">
        <v>310</v>
      </c>
      <c r="C115" t="s">
        <v>185</v>
      </c>
      <c r="D115" t="s">
        <v>142</v>
      </c>
      <c r="E115" t="s">
        <v>22</v>
      </c>
      <c r="F115">
        <v>156</v>
      </c>
      <c r="G115">
        <v>312000</v>
      </c>
      <c r="H115">
        <v>93600</v>
      </c>
      <c r="I115" t="s">
        <v>18</v>
      </c>
    </row>
    <row r="116" spans="1:9" x14ac:dyDescent="0.25">
      <c r="A116" t="s">
        <v>337</v>
      </c>
      <c r="B116" t="s">
        <v>253</v>
      </c>
      <c r="C116" t="s">
        <v>185</v>
      </c>
      <c r="D116" t="s">
        <v>145</v>
      </c>
      <c r="E116" t="s">
        <v>27</v>
      </c>
      <c r="F116">
        <v>183</v>
      </c>
      <c r="G116">
        <v>366000</v>
      </c>
      <c r="H116">
        <v>109800</v>
      </c>
      <c r="I116" t="s">
        <v>30</v>
      </c>
    </row>
    <row r="117" spans="1:9" x14ac:dyDescent="0.25">
      <c r="A117" t="s">
        <v>338</v>
      </c>
      <c r="B117" t="s">
        <v>207</v>
      </c>
      <c r="C117" t="s">
        <v>179</v>
      </c>
      <c r="D117" t="s">
        <v>169</v>
      </c>
      <c r="E117" t="s">
        <v>31</v>
      </c>
      <c r="F117">
        <v>149</v>
      </c>
      <c r="G117">
        <v>2980</v>
      </c>
      <c r="H117">
        <v>1192</v>
      </c>
      <c r="I117" t="s">
        <v>14</v>
      </c>
    </row>
    <row r="118" spans="1:9" x14ac:dyDescent="0.25">
      <c r="A118" t="s">
        <v>339</v>
      </c>
      <c r="B118" t="s">
        <v>269</v>
      </c>
      <c r="C118" t="s">
        <v>175</v>
      </c>
      <c r="D118" t="s">
        <v>153</v>
      </c>
      <c r="E118" t="s">
        <v>90</v>
      </c>
      <c r="F118">
        <v>114</v>
      </c>
      <c r="G118">
        <v>136800</v>
      </c>
      <c r="H118">
        <v>45600</v>
      </c>
      <c r="I118" t="s">
        <v>30</v>
      </c>
    </row>
    <row r="119" spans="1:9" x14ac:dyDescent="0.25">
      <c r="A119" t="s">
        <v>340</v>
      </c>
      <c r="B119" t="s">
        <v>201</v>
      </c>
      <c r="C119" t="s">
        <v>179</v>
      </c>
      <c r="D119" t="s">
        <v>132</v>
      </c>
      <c r="E119" t="s">
        <v>86</v>
      </c>
      <c r="F119">
        <v>170</v>
      </c>
      <c r="G119">
        <v>3400</v>
      </c>
      <c r="H119">
        <v>1360</v>
      </c>
      <c r="I119" t="s">
        <v>21</v>
      </c>
    </row>
    <row r="120" spans="1:9" x14ac:dyDescent="0.25">
      <c r="A120" t="s">
        <v>341</v>
      </c>
      <c r="B120" t="s">
        <v>197</v>
      </c>
      <c r="C120" t="s">
        <v>175</v>
      </c>
      <c r="D120" t="s">
        <v>157</v>
      </c>
      <c r="E120" t="s">
        <v>84</v>
      </c>
      <c r="F120">
        <v>32</v>
      </c>
      <c r="G120">
        <v>38400</v>
      </c>
      <c r="H120">
        <v>12800</v>
      </c>
      <c r="I120" t="s">
        <v>18</v>
      </c>
    </row>
    <row r="121" spans="1:9" x14ac:dyDescent="0.25">
      <c r="A121" t="s">
        <v>342</v>
      </c>
      <c r="B121" t="s">
        <v>197</v>
      </c>
      <c r="C121" t="s">
        <v>179</v>
      </c>
      <c r="D121" t="s">
        <v>159</v>
      </c>
      <c r="E121" t="s">
        <v>112</v>
      </c>
      <c r="F121">
        <v>44</v>
      </c>
      <c r="G121">
        <v>880</v>
      </c>
      <c r="H121">
        <v>352</v>
      </c>
      <c r="I121" t="s">
        <v>14</v>
      </c>
    </row>
    <row r="122" spans="1:9" x14ac:dyDescent="0.25">
      <c r="A122" t="s">
        <v>343</v>
      </c>
      <c r="B122" t="s">
        <v>226</v>
      </c>
      <c r="C122" t="s">
        <v>177</v>
      </c>
      <c r="D122" t="s">
        <v>163</v>
      </c>
      <c r="E122" t="s">
        <v>104</v>
      </c>
      <c r="F122">
        <v>74</v>
      </c>
      <c r="G122">
        <v>11100</v>
      </c>
      <c r="H122">
        <v>4440</v>
      </c>
      <c r="I122" t="s">
        <v>18</v>
      </c>
    </row>
    <row r="123" spans="1:9" x14ac:dyDescent="0.25">
      <c r="A123" t="s">
        <v>344</v>
      </c>
      <c r="B123" t="s">
        <v>251</v>
      </c>
      <c r="C123" t="s">
        <v>183</v>
      </c>
      <c r="D123" t="s">
        <v>161</v>
      </c>
      <c r="E123" t="s">
        <v>80</v>
      </c>
      <c r="F123">
        <v>116</v>
      </c>
      <c r="G123">
        <v>34800</v>
      </c>
      <c r="H123">
        <v>13920</v>
      </c>
      <c r="I123" t="s">
        <v>9</v>
      </c>
    </row>
    <row r="124" spans="1:9" x14ac:dyDescent="0.25">
      <c r="A124" t="s">
        <v>345</v>
      </c>
      <c r="B124" t="s">
        <v>212</v>
      </c>
      <c r="C124" t="s">
        <v>185</v>
      </c>
      <c r="D124" t="s">
        <v>167</v>
      </c>
      <c r="E124" t="s">
        <v>55</v>
      </c>
      <c r="F124">
        <v>87</v>
      </c>
      <c r="G124">
        <v>174000</v>
      </c>
      <c r="H124">
        <v>52200</v>
      </c>
      <c r="I124" t="s">
        <v>9</v>
      </c>
    </row>
    <row r="125" spans="1:9" x14ac:dyDescent="0.25">
      <c r="A125" t="s">
        <v>346</v>
      </c>
      <c r="B125" t="s">
        <v>193</v>
      </c>
      <c r="C125" t="s">
        <v>177</v>
      </c>
      <c r="D125" t="s">
        <v>132</v>
      </c>
      <c r="E125" t="s">
        <v>55</v>
      </c>
      <c r="F125">
        <v>120</v>
      </c>
      <c r="G125">
        <v>18000</v>
      </c>
      <c r="H125">
        <v>7200</v>
      </c>
      <c r="I125" t="s">
        <v>9</v>
      </c>
    </row>
    <row r="126" spans="1:9" x14ac:dyDescent="0.25">
      <c r="A126" t="s">
        <v>347</v>
      </c>
      <c r="B126" t="s">
        <v>233</v>
      </c>
      <c r="C126" t="s">
        <v>181</v>
      </c>
      <c r="D126" t="s">
        <v>167</v>
      </c>
      <c r="E126" t="s">
        <v>100</v>
      </c>
      <c r="F126">
        <v>176</v>
      </c>
      <c r="G126">
        <v>88000</v>
      </c>
      <c r="H126">
        <v>35200</v>
      </c>
      <c r="I126" t="s">
        <v>9</v>
      </c>
    </row>
    <row r="127" spans="1:9" x14ac:dyDescent="0.25">
      <c r="A127" t="s">
        <v>348</v>
      </c>
      <c r="B127" t="s">
        <v>210</v>
      </c>
      <c r="C127" t="s">
        <v>179</v>
      </c>
      <c r="D127" t="s">
        <v>126</v>
      </c>
      <c r="E127" t="s">
        <v>84</v>
      </c>
      <c r="F127">
        <v>88</v>
      </c>
      <c r="G127">
        <v>1760</v>
      </c>
      <c r="H127">
        <v>704</v>
      </c>
      <c r="I127" t="s">
        <v>18</v>
      </c>
    </row>
    <row r="128" spans="1:9" x14ac:dyDescent="0.25">
      <c r="A128" t="s">
        <v>349</v>
      </c>
      <c r="B128" t="s">
        <v>201</v>
      </c>
      <c r="C128" t="s">
        <v>181</v>
      </c>
      <c r="D128" t="s">
        <v>142</v>
      </c>
      <c r="E128" t="s">
        <v>66</v>
      </c>
      <c r="F128">
        <v>71</v>
      </c>
      <c r="G128">
        <v>35500</v>
      </c>
      <c r="H128">
        <v>14200</v>
      </c>
      <c r="I128" t="s">
        <v>9</v>
      </c>
    </row>
    <row r="129" spans="1:9" x14ac:dyDescent="0.25">
      <c r="A129" t="s">
        <v>350</v>
      </c>
      <c r="B129" t="s">
        <v>203</v>
      </c>
      <c r="C129" t="s">
        <v>179</v>
      </c>
      <c r="D129" t="s">
        <v>169</v>
      </c>
      <c r="E129" t="s">
        <v>110</v>
      </c>
      <c r="F129">
        <v>75</v>
      </c>
      <c r="G129">
        <v>1500</v>
      </c>
      <c r="H129">
        <v>600</v>
      </c>
      <c r="I129" t="s">
        <v>21</v>
      </c>
    </row>
    <row r="130" spans="1:9" x14ac:dyDescent="0.25">
      <c r="A130" t="s">
        <v>351</v>
      </c>
      <c r="B130" t="s">
        <v>193</v>
      </c>
      <c r="C130" t="s">
        <v>175</v>
      </c>
      <c r="D130" t="s">
        <v>163</v>
      </c>
      <c r="E130" t="s">
        <v>44</v>
      </c>
      <c r="F130">
        <v>26</v>
      </c>
      <c r="G130">
        <v>31200</v>
      </c>
      <c r="H130">
        <v>10400</v>
      </c>
      <c r="I130" t="s">
        <v>30</v>
      </c>
    </row>
    <row r="131" spans="1:9" x14ac:dyDescent="0.25">
      <c r="A131" t="s">
        <v>352</v>
      </c>
      <c r="B131" t="s">
        <v>253</v>
      </c>
      <c r="C131" t="s">
        <v>185</v>
      </c>
      <c r="D131" t="s">
        <v>157</v>
      </c>
      <c r="E131" t="s">
        <v>84</v>
      </c>
      <c r="F131">
        <v>147</v>
      </c>
      <c r="G131">
        <v>294000</v>
      </c>
      <c r="H131">
        <v>88200</v>
      </c>
      <c r="I131" t="s">
        <v>18</v>
      </c>
    </row>
    <row r="132" spans="1:9" x14ac:dyDescent="0.25">
      <c r="A132" t="s">
        <v>353</v>
      </c>
      <c r="B132" t="s">
        <v>217</v>
      </c>
      <c r="C132" t="s">
        <v>177</v>
      </c>
      <c r="D132" t="s">
        <v>161</v>
      </c>
      <c r="E132" t="s">
        <v>104</v>
      </c>
      <c r="F132">
        <v>187</v>
      </c>
      <c r="G132">
        <v>28050</v>
      </c>
      <c r="H132">
        <v>11220</v>
      </c>
      <c r="I132" t="s">
        <v>18</v>
      </c>
    </row>
    <row r="133" spans="1:9" x14ac:dyDescent="0.25">
      <c r="A133" t="s">
        <v>354</v>
      </c>
      <c r="B133" t="s">
        <v>193</v>
      </c>
      <c r="C133" t="s">
        <v>181</v>
      </c>
      <c r="D133" t="s">
        <v>126</v>
      </c>
      <c r="E133" t="s">
        <v>25</v>
      </c>
      <c r="F133">
        <v>80</v>
      </c>
      <c r="G133">
        <v>40000</v>
      </c>
      <c r="H133">
        <v>16000</v>
      </c>
      <c r="I133" t="s">
        <v>9</v>
      </c>
    </row>
    <row r="134" spans="1:9" x14ac:dyDescent="0.25">
      <c r="A134" t="s">
        <v>355</v>
      </c>
      <c r="B134" t="s">
        <v>223</v>
      </c>
      <c r="C134" t="s">
        <v>181</v>
      </c>
      <c r="D134" t="s">
        <v>145</v>
      </c>
      <c r="E134" t="s">
        <v>60</v>
      </c>
      <c r="F134">
        <v>174</v>
      </c>
      <c r="G134">
        <v>87000</v>
      </c>
      <c r="H134">
        <v>34800</v>
      </c>
      <c r="I134" t="s">
        <v>9</v>
      </c>
    </row>
    <row r="135" spans="1:9" x14ac:dyDescent="0.25">
      <c r="A135" t="s">
        <v>356</v>
      </c>
      <c r="B135" t="s">
        <v>267</v>
      </c>
      <c r="C135" t="s">
        <v>179</v>
      </c>
      <c r="D135" t="s">
        <v>161</v>
      </c>
      <c r="E135" t="s">
        <v>92</v>
      </c>
      <c r="F135">
        <v>140</v>
      </c>
      <c r="G135">
        <v>2800</v>
      </c>
      <c r="H135">
        <v>1120</v>
      </c>
      <c r="I135" t="s">
        <v>41</v>
      </c>
    </row>
    <row r="136" spans="1:9" x14ac:dyDescent="0.25">
      <c r="A136" t="s">
        <v>357</v>
      </c>
      <c r="B136" t="s">
        <v>310</v>
      </c>
      <c r="C136" t="s">
        <v>181</v>
      </c>
      <c r="D136" t="s">
        <v>165</v>
      </c>
      <c r="E136" t="s">
        <v>64</v>
      </c>
      <c r="F136">
        <v>95</v>
      </c>
      <c r="G136">
        <v>47500</v>
      </c>
      <c r="H136">
        <v>19000</v>
      </c>
      <c r="I136" t="s">
        <v>30</v>
      </c>
    </row>
    <row r="137" spans="1:9" x14ac:dyDescent="0.25">
      <c r="A137" t="s">
        <v>358</v>
      </c>
      <c r="B137" t="s">
        <v>193</v>
      </c>
      <c r="C137" t="s">
        <v>181</v>
      </c>
      <c r="D137" t="s">
        <v>147</v>
      </c>
      <c r="E137" t="s">
        <v>60</v>
      </c>
      <c r="F137">
        <v>69</v>
      </c>
      <c r="G137">
        <v>34500</v>
      </c>
      <c r="H137">
        <v>13800</v>
      </c>
      <c r="I137" t="s">
        <v>9</v>
      </c>
    </row>
    <row r="138" spans="1:9" x14ac:dyDescent="0.25">
      <c r="A138" t="s">
        <v>359</v>
      </c>
      <c r="B138" t="s">
        <v>246</v>
      </c>
      <c r="C138" t="s">
        <v>175</v>
      </c>
      <c r="D138" t="s">
        <v>142</v>
      </c>
      <c r="E138" t="s">
        <v>62</v>
      </c>
      <c r="F138">
        <v>35</v>
      </c>
      <c r="G138">
        <v>42000</v>
      </c>
      <c r="H138">
        <v>14000</v>
      </c>
      <c r="I138" t="s">
        <v>14</v>
      </c>
    </row>
    <row r="139" spans="1:9" x14ac:dyDescent="0.25">
      <c r="A139" t="s">
        <v>360</v>
      </c>
      <c r="B139" t="s">
        <v>246</v>
      </c>
      <c r="C139" t="s">
        <v>183</v>
      </c>
      <c r="D139" t="s">
        <v>140</v>
      </c>
      <c r="E139" t="s">
        <v>44</v>
      </c>
      <c r="F139">
        <v>60</v>
      </c>
      <c r="G139">
        <v>18000</v>
      </c>
      <c r="H139">
        <v>7200</v>
      </c>
      <c r="I139" t="s">
        <v>30</v>
      </c>
    </row>
    <row r="140" spans="1:9" x14ac:dyDescent="0.25">
      <c r="A140" t="s">
        <v>361</v>
      </c>
      <c r="B140" t="s">
        <v>253</v>
      </c>
      <c r="C140" t="s">
        <v>181</v>
      </c>
      <c r="D140" t="s">
        <v>147</v>
      </c>
      <c r="E140" t="s">
        <v>114</v>
      </c>
      <c r="F140">
        <v>155</v>
      </c>
      <c r="G140">
        <v>77500</v>
      </c>
      <c r="H140">
        <v>31000</v>
      </c>
      <c r="I140" t="s">
        <v>21</v>
      </c>
    </row>
    <row r="141" spans="1:9" x14ac:dyDescent="0.25">
      <c r="A141" t="s">
        <v>362</v>
      </c>
      <c r="B141" t="s">
        <v>251</v>
      </c>
      <c r="C141" t="s">
        <v>183</v>
      </c>
      <c r="D141" t="s">
        <v>169</v>
      </c>
      <c r="E141" t="s">
        <v>58</v>
      </c>
      <c r="F141">
        <v>30</v>
      </c>
      <c r="G141">
        <v>9000</v>
      </c>
      <c r="H141">
        <v>3600</v>
      </c>
      <c r="I141" t="s">
        <v>41</v>
      </c>
    </row>
    <row r="142" spans="1:9" x14ac:dyDescent="0.25">
      <c r="A142" t="s">
        <v>363</v>
      </c>
      <c r="B142" t="s">
        <v>210</v>
      </c>
      <c r="C142" t="s">
        <v>177</v>
      </c>
      <c r="D142" t="s">
        <v>149</v>
      </c>
      <c r="E142" t="s">
        <v>48</v>
      </c>
      <c r="F142">
        <v>97</v>
      </c>
      <c r="G142">
        <v>14550</v>
      </c>
      <c r="H142">
        <v>5820</v>
      </c>
      <c r="I142" t="s">
        <v>14</v>
      </c>
    </row>
    <row r="143" spans="1:9" x14ac:dyDescent="0.25">
      <c r="A143" t="s">
        <v>364</v>
      </c>
      <c r="B143" t="s">
        <v>293</v>
      </c>
      <c r="C143" t="s">
        <v>179</v>
      </c>
      <c r="D143" t="s">
        <v>126</v>
      </c>
      <c r="E143" t="s">
        <v>112</v>
      </c>
      <c r="F143">
        <v>141</v>
      </c>
      <c r="G143">
        <v>2820</v>
      </c>
      <c r="H143">
        <v>1128</v>
      </c>
      <c r="I143" t="s">
        <v>14</v>
      </c>
    </row>
    <row r="144" spans="1:9" x14ac:dyDescent="0.25">
      <c r="A144" t="s">
        <v>365</v>
      </c>
      <c r="B144" t="s">
        <v>283</v>
      </c>
      <c r="C144" t="s">
        <v>179</v>
      </c>
      <c r="D144" t="s">
        <v>129</v>
      </c>
      <c r="E144" t="s">
        <v>19</v>
      </c>
      <c r="F144">
        <v>146</v>
      </c>
      <c r="G144">
        <v>2920</v>
      </c>
      <c r="H144">
        <v>1168</v>
      </c>
      <c r="I144" t="s">
        <v>21</v>
      </c>
    </row>
    <row r="145" spans="1:9" x14ac:dyDescent="0.25">
      <c r="A145" t="s">
        <v>366</v>
      </c>
      <c r="B145" t="s">
        <v>217</v>
      </c>
      <c r="C145" t="s">
        <v>185</v>
      </c>
      <c r="D145" t="s">
        <v>138</v>
      </c>
      <c r="E145" t="s">
        <v>102</v>
      </c>
      <c r="F145">
        <v>197</v>
      </c>
      <c r="G145">
        <v>394000</v>
      </c>
      <c r="H145">
        <v>118200</v>
      </c>
      <c r="I145" t="s">
        <v>18</v>
      </c>
    </row>
    <row r="146" spans="1:9" x14ac:dyDescent="0.25">
      <c r="A146" t="s">
        <v>367</v>
      </c>
      <c r="B146" t="s">
        <v>217</v>
      </c>
      <c r="C146" t="s">
        <v>175</v>
      </c>
      <c r="D146" t="s">
        <v>126</v>
      </c>
      <c r="E146" t="s">
        <v>94</v>
      </c>
      <c r="F146">
        <v>77</v>
      </c>
      <c r="G146">
        <v>92400</v>
      </c>
      <c r="H146">
        <v>30800</v>
      </c>
      <c r="I146" t="s">
        <v>9</v>
      </c>
    </row>
    <row r="147" spans="1:9" x14ac:dyDescent="0.25">
      <c r="A147" t="s">
        <v>368</v>
      </c>
      <c r="B147" t="s">
        <v>219</v>
      </c>
      <c r="C147" t="s">
        <v>181</v>
      </c>
      <c r="D147" t="s">
        <v>159</v>
      </c>
      <c r="E147" t="s">
        <v>64</v>
      </c>
      <c r="F147">
        <v>52</v>
      </c>
      <c r="G147">
        <v>26000</v>
      </c>
      <c r="H147">
        <v>10400</v>
      </c>
      <c r="I147" t="s">
        <v>30</v>
      </c>
    </row>
    <row r="148" spans="1:9" x14ac:dyDescent="0.25">
      <c r="A148" t="s">
        <v>369</v>
      </c>
      <c r="B148" t="s">
        <v>251</v>
      </c>
      <c r="C148" t="s">
        <v>175</v>
      </c>
      <c r="D148" t="s">
        <v>147</v>
      </c>
      <c r="E148" t="s">
        <v>82</v>
      </c>
      <c r="F148">
        <v>34</v>
      </c>
      <c r="G148">
        <v>40800</v>
      </c>
      <c r="H148">
        <v>13600</v>
      </c>
      <c r="I148" t="s">
        <v>30</v>
      </c>
    </row>
    <row r="149" spans="1:9" x14ac:dyDescent="0.25">
      <c r="A149" t="s">
        <v>370</v>
      </c>
      <c r="B149" t="s">
        <v>223</v>
      </c>
      <c r="C149" t="s">
        <v>175</v>
      </c>
      <c r="D149" t="s">
        <v>155</v>
      </c>
      <c r="E149" t="s">
        <v>84</v>
      </c>
      <c r="F149">
        <v>23</v>
      </c>
      <c r="G149">
        <v>27600</v>
      </c>
      <c r="H149">
        <v>9200</v>
      </c>
      <c r="I149" t="s">
        <v>18</v>
      </c>
    </row>
    <row r="150" spans="1:9" x14ac:dyDescent="0.25">
      <c r="A150" t="s">
        <v>371</v>
      </c>
      <c r="B150" t="s">
        <v>207</v>
      </c>
      <c r="C150" t="s">
        <v>185</v>
      </c>
      <c r="D150" t="s">
        <v>129</v>
      </c>
      <c r="E150" t="s">
        <v>37</v>
      </c>
      <c r="F150">
        <v>43</v>
      </c>
      <c r="G150">
        <v>86000</v>
      </c>
      <c r="H150">
        <v>25800</v>
      </c>
      <c r="I150" t="s">
        <v>21</v>
      </c>
    </row>
    <row r="151" spans="1:9" x14ac:dyDescent="0.25">
      <c r="A151" t="s">
        <v>372</v>
      </c>
      <c r="B151" t="s">
        <v>195</v>
      </c>
      <c r="C151" t="s">
        <v>183</v>
      </c>
      <c r="D151" t="s">
        <v>149</v>
      </c>
      <c r="E151" t="s">
        <v>25</v>
      </c>
      <c r="F151">
        <v>68</v>
      </c>
      <c r="G151">
        <v>20400</v>
      </c>
      <c r="H151">
        <v>8160</v>
      </c>
      <c r="I151" t="s">
        <v>9</v>
      </c>
    </row>
    <row r="152" spans="1:9" x14ac:dyDescent="0.25">
      <c r="A152" t="s">
        <v>373</v>
      </c>
      <c r="B152" t="s">
        <v>207</v>
      </c>
      <c r="C152" t="s">
        <v>183</v>
      </c>
      <c r="D152" t="s">
        <v>157</v>
      </c>
      <c r="E152" t="s">
        <v>98</v>
      </c>
      <c r="F152">
        <v>157</v>
      </c>
      <c r="G152">
        <v>47100</v>
      </c>
      <c r="H152">
        <v>18840</v>
      </c>
      <c r="I152" t="s">
        <v>30</v>
      </c>
    </row>
    <row r="153" spans="1:9" x14ac:dyDescent="0.25">
      <c r="A153" t="s">
        <v>374</v>
      </c>
      <c r="B153" t="s">
        <v>233</v>
      </c>
      <c r="C153" t="s">
        <v>183</v>
      </c>
      <c r="D153" t="s">
        <v>145</v>
      </c>
      <c r="E153" t="s">
        <v>120</v>
      </c>
      <c r="F153">
        <v>138</v>
      </c>
      <c r="G153">
        <v>41400</v>
      </c>
      <c r="H153">
        <v>16560</v>
      </c>
      <c r="I153" t="s">
        <v>18</v>
      </c>
    </row>
    <row r="154" spans="1:9" x14ac:dyDescent="0.25">
      <c r="A154" t="s">
        <v>375</v>
      </c>
      <c r="B154" t="s">
        <v>197</v>
      </c>
      <c r="C154" t="s">
        <v>181</v>
      </c>
      <c r="D154" t="s">
        <v>159</v>
      </c>
      <c r="E154" t="s">
        <v>60</v>
      </c>
      <c r="F154">
        <v>155</v>
      </c>
      <c r="G154">
        <v>77500</v>
      </c>
      <c r="H154">
        <v>31000</v>
      </c>
      <c r="I154" t="s">
        <v>9</v>
      </c>
    </row>
    <row r="155" spans="1:9" x14ac:dyDescent="0.25">
      <c r="A155" t="s">
        <v>376</v>
      </c>
      <c r="B155" t="s">
        <v>226</v>
      </c>
      <c r="C155" t="s">
        <v>179</v>
      </c>
      <c r="D155" t="s">
        <v>167</v>
      </c>
      <c r="E155" t="s">
        <v>100</v>
      </c>
      <c r="F155">
        <v>20</v>
      </c>
      <c r="G155">
        <v>400</v>
      </c>
      <c r="H155">
        <v>160</v>
      </c>
      <c r="I155" t="s">
        <v>9</v>
      </c>
    </row>
    <row r="156" spans="1:9" x14ac:dyDescent="0.25">
      <c r="A156" t="s">
        <v>377</v>
      </c>
      <c r="B156" t="s">
        <v>199</v>
      </c>
      <c r="C156" t="s">
        <v>185</v>
      </c>
      <c r="D156" t="s">
        <v>135</v>
      </c>
      <c r="E156" t="s">
        <v>118</v>
      </c>
      <c r="F156">
        <v>58</v>
      </c>
      <c r="G156">
        <v>116000</v>
      </c>
      <c r="H156">
        <v>34800</v>
      </c>
      <c r="I156" t="s">
        <v>30</v>
      </c>
    </row>
    <row r="157" spans="1:9" x14ac:dyDescent="0.25">
      <c r="A157" t="s">
        <v>378</v>
      </c>
      <c r="B157" t="s">
        <v>210</v>
      </c>
      <c r="C157" t="s">
        <v>177</v>
      </c>
      <c r="D157" t="s">
        <v>147</v>
      </c>
      <c r="E157" t="s">
        <v>106</v>
      </c>
      <c r="F157">
        <v>25</v>
      </c>
      <c r="G157">
        <v>3750</v>
      </c>
      <c r="H157">
        <v>1500</v>
      </c>
      <c r="I157" t="s">
        <v>41</v>
      </c>
    </row>
    <row r="158" spans="1:9" x14ac:dyDescent="0.25">
      <c r="A158" t="s">
        <v>379</v>
      </c>
      <c r="B158" t="s">
        <v>210</v>
      </c>
      <c r="C158" t="s">
        <v>177</v>
      </c>
      <c r="D158" t="s">
        <v>140</v>
      </c>
      <c r="E158" t="s">
        <v>92</v>
      </c>
      <c r="F158">
        <v>24</v>
      </c>
      <c r="G158">
        <v>3600</v>
      </c>
      <c r="H158">
        <v>1440</v>
      </c>
      <c r="I158" t="s">
        <v>41</v>
      </c>
    </row>
    <row r="159" spans="1:9" x14ac:dyDescent="0.25">
      <c r="A159" t="s">
        <v>380</v>
      </c>
      <c r="B159" t="s">
        <v>226</v>
      </c>
      <c r="C159" t="s">
        <v>175</v>
      </c>
      <c r="D159" t="s">
        <v>157</v>
      </c>
      <c r="E159" t="s">
        <v>78</v>
      </c>
      <c r="F159">
        <v>181</v>
      </c>
      <c r="G159">
        <v>217200</v>
      </c>
      <c r="H159">
        <v>72400</v>
      </c>
      <c r="I159" t="s">
        <v>14</v>
      </c>
    </row>
    <row r="160" spans="1:9" x14ac:dyDescent="0.25">
      <c r="A160" t="s">
        <v>381</v>
      </c>
      <c r="B160" t="s">
        <v>283</v>
      </c>
      <c r="C160" t="s">
        <v>181</v>
      </c>
      <c r="D160" t="s">
        <v>149</v>
      </c>
      <c r="E160" t="s">
        <v>15</v>
      </c>
      <c r="F160">
        <v>64</v>
      </c>
      <c r="G160">
        <v>32000</v>
      </c>
      <c r="H160">
        <v>12800</v>
      </c>
      <c r="I160" t="s">
        <v>18</v>
      </c>
    </row>
    <row r="161" spans="1:9" x14ac:dyDescent="0.25">
      <c r="A161" t="s">
        <v>382</v>
      </c>
      <c r="B161" t="s">
        <v>279</v>
      </c>
      <c r="C161" t="s">
        <v>185</v>
      </c>
      <c r="D161" t="s">
        <v>149</v>
      </c>
      <c r="E161" t="s">
        <v>110</v>
      </c>
      <c r="F161">
        <v>121</v>
      </c>
      <c r="G161">
        <v>242000</v>
      </c>
      <c r="H161">
        <v>72600</v>
      </c>
      <c r="I161" t="s">
        <v>21</v>
      </c>
    </row>
    <row r="162" spans="1:9" x14ac:dyDescent="0.25">
      <c r="A162" t="s">
        <v>383</v>
      </c>
      <c r="B162" t="s">
        <v>223</v>
      </c>
      <c r="C162" t="s">
        <v>185</v>
      </c>
      <c r="D162" t="s">
        <v>145</v>
      </c>
      <c r="E162" t="s">
        <v>53</v>
      </c>
      <c r="F162">
        <v>165</v>
      </c>
      <c r="G162">
        <v>330000</v>
      </c>
      <c r="H162">
        <v>99000</v>
      </c>
      <c r="I162" t="s">
        <v>21</v>
      </c>
    </row>
    <row r="163" spans="1:9" x14ac:dyDescent="0.25">
      <c r="A163" t="s">
        <v>384</v>
      </c>
      <c r="B163" t="s">
        <v>203</v>
      </c>
      <c r="C163" t="s">
        <v>185</v>
      </c>
      <c r="D163" t="s">
        <v>142</v>
      </c>
      <c r="E163" t="s">
        <v>76</v>
      </c>
      <c r="F163">
        <v>34</v>
      </c>
      <c r="G163">
        <v>68000</v>
      </c>
      <c r="H163">
        <v>20400</v>
      </c>
      <c r="I163" t="s">
        <v>30</v>
      </c>
    </row>
    <row r="164" spans="1:9" x14ac:dyDescent="0.25">
      <c r="A164" t="s">
        <v>385</v>
      </c>
      <c r="B164" t="s">
        <v>279</v>
      </c>
      <c r="C164" t="s">
        <v>177</v>
      </c>
      <c r="D164" t="s">
        <v>138</v>
      </c>
      <c r="E164" t="s">
        <v>55</v>
      </c>
      <c r="F164">
        <v>41</v>
      </c>
      <c r="G164">
        <v>6150</v>
      </c>
      <c r="H164">
        <v>2460</v>
      </c>
      <c r="I164" t="s">
        <v>9</v>
      </c>
    </row>
    <row r="165" spans="1:9" x14ac:dyDescent="0.25">
      <c r="A165" t="s">
        <v>386</v>
      </c>
      <c r="B165" t="s">
        <v>246</v>
      </c>
      <c r="C165" t="s">
        <v>175</v>
      </c>
      <c r="D165" t="s">
        <v>140</v>
      </c>
      <c r="E165" t="s">
        <v>60</v>
      </c>
      <c r="F165">
        <v>157</v>
      </c>
      <c r="G165">
        <v>188400</v>
      </c>
      <c r="H165">
        <v>62800</v>
      </c>
      <c r="I165" t="s">
        <v>9</v>
      </c>
    </row>
    <row r="166" spans="1:9" x14ac:dyDescent="0.25">
      <c r="A166" t="s">
        <v>387</v>
      </c>
      <c r="B166" t="s">
        <v>242</v>
      </c>
      <c r="C166" t="s">
        <v>183</v>
      </c>
      <c r="D166" t="s">
        <v>149</v>
      </c>
      <c r="E166" t="s">
        <v>78</v>
      </c>
      <c r="F166">
        <v>36</v>
      </c>
      <c r="G166">
        <v>10800</v>
      </c>
      <c r="H166">
        <v>4320</v>
      </c>
      <c r="I166" t="s">
        <v>14</v>
      </c>
    </row>
    <row r="167" spans="1:9" x14ac:dyDescent="0.25">
      <c r="A167" t="s">
        <v>388</v>
      </c>
      <c r="B167" t="s">
        <v>219</v>
      </c>
      <c r="C167" t="s">
        <v>185</v>
      </c>
      <c r="D167" t="s">
        <v>149</v>
      </c>
      <c r="E167" t="s">
        <v>110</v>
      </c>
      <c r="F167">
        <v>108</v>
      </c>
      <c r="G167">
        <v>216000</v>
      </c>
      <c r="H167">
        <v>64800</v>
      </c>
      <c r="I167" t="s">
        <v>21</v>
      </c>
    </row>
    <row r="168" spans="1:9" x14ac:dyDescent="0.25">
      <c r="A168" t="s">
        <v>389</v>
      </c>
      <c r="B168" t="s">
        <v>242</v>
      </c>
      <c r="C168" t="s">
        <v>179</v>
      </c>
      <c r="D168" t="s">
        <v>163</v>
      </c>
      <c r="E168" t="s">
        <v>90</v>
      </c>
      <c r="F168">
        <v>131</v>
      </c>
      <c r="G168">
        <v>2620</v>
      </c>
      <c r="H168">
        <v>1048</v>
      </c>
      <c r="I168" t="s">
        <v>30</v>
      </c>
    </row>
    <row r="169" spans="1:9" x14ac:dyDescent="0.25">
      <c r="A169" t="s">
        <v>390</v>
      </c>
      <c r="B169" t="s">
        <v>246</v>
      </c>
      <c r="C169" t="s">
        <v>175</v>
      </c>
      <c r="D169" t="s">
        <v>169</v>
      </c>
      <c r="E169" t="s">
        <v>15</v>
      </c>
      <c r="F169">
        <v>115</v>
      </c>
      <c r="G169">
        <v>138000</v>
      </c>
      <c r="H169">
        <v>46000</v>
      </c>
      <c r="I169" t="s">
        <v>18</v>
      </c>
    </row>
    <row r="170" spans="1:9" x14ac:dyDescent="0.25">
      <c r="A170" t="s">
        <v>391</v>
      </c>
      <c r="B170" t="s">
        <v>279</v>
      </c>
      <c r="C170" t="s">
        <v>179</v>
      </c>
      <c r="D170" t="s">
        <v>169</v>
      </c>
      <c r="E170" t="s">
        <v>53</v>
      </c>
      <c r="F170">
        <v>11</v>
      </c>
      <c r="G170">
        <v>220</v>
      </c>
      <c r="H170">
        <v>88</v>
      </c>
      <c r="I170" t="s">
        <v>21</v>
      </c>
    </row>
    <row r="171" spans="1:9" x14ac:dyDescent="0.25">
      <c r="A171" t="s">
        <v>392</v>
      </c>
      <c r="B171" t="s">
        <v>253</v>
      </c>
      <c r="C171" t="s">
        <v>177</v>
      </c>
      <c r="D171" t="s">
        <v>167</v>
      </c>
      <c r="E171" t="s">
        <v>96</v>
      </c>
      <c r="F171">
        <v>10</v>
      </c>
      <c r="G171">
        <v>1500</v>
      </c>
      <c r="H171">
        <v>600</v>
      </c>
      <c r="I171" t="s">
        <v>9</v>
      </c>
    </row>
    <row r="172" spans="1:9" x14ac:dyDescent="0.25">
      <c r="A172" t="s">
        <v>393</v>
      </c>
      <c r="B172" t="s">
        <v>253</v>
      </c>
      <c r="C172" t="s">
        <v>185</v>
      </c>
      <c r="D172" t="s">
        <v>147</v>
      </c>
      <c r="E172" t="s">
        <v>94</v>
      </c>
      <c r="F172">
        <v>15</v>
      </c>
      <c r="G172">
        <v>30000</v>
      </c>
      <c r="H172">
        <v>9000</v>
      </c>
      <c r="I172" t="s">
        <v>9</v>
      </c>
    </row>
    <row r="173" spans="1:9" x14ac:dyDescent="0.25">
      <c r="A173" t="s">
        <v>394</v>
      </c>
      <c r="B173" t="s">
        <v>242</v>
      </c>
      <c r="C173" t="s">
        <v>177</v>
      </c>
      <c r="D173" t="s">
        <v>161</v>
      </c>
      <c r="E173" t="s">
        <v>88</v>
      </c>
      <c r="F173">
        <v>171</v>
      </c>
      <c r="G173">
        <v>25650</v>
      </c>
      <c r="H173">
        <v>10260</v>
      </c>
      <c r="I173" t="s">
        <v>30</v>
      </c>
    </row>
    <row r="174" spans="1:9" x14ac:dyDescent="0.25">
      <c r="A174" t="s">
        <v>395</v>
      </c>
      <c r="B174" t="s">
        <v>199</v>
      </c>
      <c r="C174" t="s">
        <v>179</v>
      </c>
      <c r="D174" t="s">
        <v>140</v>
      </c>
      <c r="E174" t="s">
        <v>96</v>
      </c>
      <c r="F174">
        <v>116</v>
      </c>
      <c r="G174">
        <v>2320</v>
      </c>
      <c r="H174">
        <v>928</v>
      </c>
      <c r="I174" t="s">
        <v>9</v>
      </c>
    </row>
    <row r="175" spans="1:9" x14ac:dyDescent="0.25">
      <c r="A175" t="s">
        <v>396</v>
      </c>
      <c r="B175" t="s">
        <v>197</v>
      </c>
      <c r="C175" t="s">
        <v>181</v>
      </c>
      <c r="D175" t="s">
        <v>132</v>
      </c>
      <c r="E175" t="s">
        <v>82</v>
      </c>
      <c r="F175">
        <v>94</v>
      </c>
      <c r="G175">
        <v>47000</v>
      </c>
      <c r="H175">
        <v>18800</v>
      </c>
      <c r="I175" t="s">
        <v>30</v>
      </c>
    </row>
    <row r="176" spans="1:9" x14ac:dyDescent="0.25">
      <c r="A176" t="s">
        <v>397</v>
      </c>
      <c r="B176" t="s">
        <v>212</v>
      </c>
      <c r="C176" t="s">
        <v>179</v>
      </c>
      <c r="D176" t="s">
        <v>151</v>
      </c>
      <c r="E176" t="s">
        <v>106</v>
      </c>
      <c r="F176">
        <v>31</v>
      </c>
      <c r="G176">
        <v>620</v>
      </c>
      <c r="H176">
        <v>248</v>
      </c>
      <c r="I176" t="s">
        <v>41</v>
      </c>
    </row>
    <row r="177" spans="1:9" x14ac:dyDescent="0.25">
      <c r="A177" t="s">
        <v>398</v>
      </c>
      <c r="B177" t="s">
        <v>217</v>
      </c>
      <c r="C177" t="s">
        <v>177</v>
      </c>
      <c r="D177" t="s">
        <v>151</v>
      </c>
      <c r="E177" t="s">
        <v>74</v>
      </c>
      <c r="F177">
        <v>182</v>
      </c>
      <c r="G177">
        <v>27300</v>
      </c>
      <c r="H177">
        <v>10920</v>
      </c>
      <c r="I177" t="s">
        <v>9</v>
      </c>
    </row>
    <row r="178" spans="1:9" x14ac:dyDescent="0.25">
      <c r="A178" t="s">
        <v>399</v>
      </c>
      <c r="B178" t="s">
        <v>221</v>
      </c>
      <c r="C178" t="s">
        <v>179</v>
      </c>
      <c r="D178" t="s">
        <v>155</v>
      </c>
      <c r="E178" t="s">
        <v>118</v>
      </c>
      <c r="F178">
        <v>145</v>
      </c>
      <c r="G178">
        <v>2900</v>
      </c>
      <c r="H178">
        <v>1160</v>
      </c>
      <c r="I178" t="s">
        <v>30</v>
      </c>
    </row>
    <row r="179" spans="1:9" x14ac:dyDescent="0.25">
      <c r="A179" t="s">
        <v>400</v>
      </c>
      <c r="B179" t="s">
        <v>201</v>
      </c>
      <c r="C179" t="s">
        <v>181</v>
      </c>
      <c r="D179" t="s">
        <v>132</v>
      </c>
      <c r="E179" t="s">
        <v>62</v>
      </c>
      <c r="F179">
        <v>69</v>
      </c>
      <c r="G179">
        <v>34500</v>
      </c>
      <c r="H179">
        <v>13800</v>
      </c>
      <c r="I179" t="s">
        <v>14</v>
      </c>
    </row>
    <row r="180" spans="1:9" x14ac:dyDescent="0.25">
      <c r="A180" t="s">
        <v>401</v>
      </c>
      <c r="B180" t="s">
        <v>269</v>
      </c>
      <c r="C180" t="s">
        <v>175</v>
      </c>
      <c r="D180" t="s">
        <v>155</v>
      </c>
      <c r="E180" t="s">
        <v>86</v>
      </c>
      <c r="F180">
        <v>5</v>
      </c>
      <c r="G180">
        <v>6000</v>
      </c>
      <c r="H180">
        <v>2000</v>
      </c>
      <c r="I180" t="s">
        <v>21</v>
      </c>
    </row>
    <row r="181" spans="1:9" x14ac:dyDescent="0.25">
      <c r="A181" t="s">
        <v>402</v>
      </c>
      <c r="B181" t="s">
        <v>231</v>
      </c>
      <c r="C181" t="s">
        <v>183</v>
      </c>
      <c r="D181" t="s">
        <v>159</v>
      </c>
      <c r="E181" t="s">
        <v>74</v>
      </c>
      <c r="F181">
        <v>18</v>
      </c>
      <c r="G181">
        <v>5400</v>
      </c>
      <c r="H181">
        <v>2160</v>
      </c>
      <c r="I181" t="s">
        <v>9</v>
      </c>
    </row>
    <row r="182" spans="1:9" x14ac:dyDescent="0.25">
      <c r="A182" t="s">
        <v>403</v>
      </c>
      <c r="B182" t="s">
        <v>217</v>
      </c>
      <c r="C182" t="s">
        <v>183</v>
      </c>
      <c r="D182" t="s">
        <v>153</v>
      </c>
      <c r="E182" t="s">
        <v>100</v>
      </c>
      <c r="F182">
        <v>198</v>
      </c>
      <c r="G182">
        <v>59400</v>
      </c>
      <c r="H182">
        <v>23760</v>
      </c>
      <c r="I182" t="s">
        <v>9</v>
      </c>
    </row>
    <row r="183" spans="1:9" x14ac:dyDescent="0.25">
      <c r="A183" t="s">
        <v>404</v>
      </c>
      <c r="B183" t="s">
        <v>231</v>
      </c>
      <c r="C183" t="s">
        <v>185</v>
      </c>
      <c r="D183" t="s">
        <v>159</v>
      </c>
      <c r="E183" t="s">
        <v>118</v>
      </c>
      <c r="F183">
        <v>18</v>
      </c>
      <c r="G183">
        <v>36000</v>
      </c>
      <c r="H183">
        <v>10800</v>
      </c>
      <c r="I183" t="s">
        <v>30</v>
      </c>
    </row>
    <row r="184" spans="1:9" x14ac:dyDescent="0.25">
      <c r="A184" t="s">
        <v>405</v>
      </c>
      <c r="B184" t="s">
        <v>242</v>
      </c>
      <c r="C184" t="s">
        <v>179</v>
      </c>
      <c r="D184" t="s">
        <v>165</v>
      </c>
      <c r="E184" t="s">
        <v>34</v>
      </c>
      <c r="F184">
        <v>78</v>
      </c>
      <c r="G184">
        <v>1560</v>
      </c>
      <c r="H184">
        <v>624</v>
      </c>
      <c r="I184" t="s">
        <v>14</v>
      </c>
    </row>
    <row r="185" spans="1:9" x14ac:dyDescent="0.25">
      <c r="A185" t="s">
        <v>406</v>
      </c>
      <c r="B185" t="s">
        <v>199</v>
      </c>
      <c r="C185" t="s">
        <v>185</v>
      </c>
      <c r="D185" t="s">
        <v>161</v>
      </c>
      <c r="E185" t="s">
        <v>31</v>
      </c>
      <c r="F185">
        <v>12</v>
      </c>
      <c r="G185">
        <v>24000</v>
      </c>
      <c r="H185">
        <v>7200</v>
      </c>
      <c r="I185" t="s">
        <v>14</v>
      </c>
    </row>
    <row r="186" spans="1:9" x14ac:dyDescent="0.25">
      <c r="A186" t="s">
        <v>407</v>
      </c>
      <c r="B186" t="s">
        <v>283</v>
      </c>
      <c r="C186" t="s">
        <v>183</v>
      </c>
      <c r="D186" t="s">
        <v>145</v>
      </c>
      <c r="E186" t="s">
        <v>112</v>
      </c>
      <c r="F186">
        <v>45</v>
      </c>
      <c r="G186">
        <v>13500</v>
      </c>
      <c r="H186">
        <v>5400</v>
      </c>
      <c r="I186" t="s">
        <v>14</v>
      </c>
    </row>
    <row r="187" spans="1:9" x14ac:dyDescent="0.25">
      <c r="A187" t="s">
        <v>408</v>
      </c>
      <c r="B187" t="s">
        <v>279</v>
      </c>
      <c r="C187" t="s">
        <v>183</v>
      </c>
      <c r="D187" t="s">
        <v>126</v>
      </c>
      <c r="E187" t="s">
        <v>92</v>
      </c>
      <c r="F187">
        <v>109</v>
      </c>
      <c r="G187">
        <v>32700</v>
      </c>
      <c r="H187">
        <v>13080</v>
      </c>
      <c r="I187" t="s">
        <v>41</v>
      </c>
    </row>
    <row r="188" spans="1:9" x14ac:dyDescent="0.25">
      <c r="A188" t="s">
        <v>409</v>
      </c>
      <c r="B188" t="s">
        <v>199</v>
      </c>
      <c r="C188" t="s">
        <v>177</v>
      </c>
      <c r="D188" t="s">
        <v>135</v>
      </c>
      <c r="E188" t="s">
        <v>80</v>
      </c>
      <c r="F188">
        <v>35</v>
      </c>
      <c r="G188">
        <v>5250</v>
      </c>
      <c r="H188">
        <v>2100</v>
      </c>
      <c r="I188" t="s">
        <v>9</v>
      </c>
    </row>
    <row r="189" spans="1:9" x14ac:dyDescent="0.25">
      <c r="A189" t="s">
        <v>410</v>
      </c>
      <c r="B189" t="s">
        <v>238</v>
      </c>
      <c r="C189" t="s">
        <v>177</v>
      </c>
      <c r="D189" t="s">
        <v>161</v>
      </c>
      <c r="E189" t="s">
        <v>112</v>
      </c>
      <c r="F189">
        <v>79</v>
      </c>
      <c r="G189">
        <v>11850</v>
      </c>
      <c r="H189">
        <v>4740</v>
      </c>
      <c r="I189" t="s">
        <v>14</v>
      </c>
    </row>
    <row r="190" spans="1:9" x14ac:dyDescent="0.25">
      <c r="A190" t="s">
        <v>411</v>
      </c>
      <c r="B190" t="s">
        <v>217</v>
      </c>
      <c r="C190" t="s">
        <v>185</v>
      </c>
      <c r="D190" t="s">
        <v>147</v>
      </c>
      <c r="E190" t="s">
        <v>74</v>
      </c>
      <c r="F190">
        <v>128</v>
      </c>
      <c r="G190">
        <v>256000</v>
      </c>
      <c r="H190">
        <v>76800</v>
      </c>
      <c r="I190" t="s">
        <v>9</v>
      </c>
    </row>
    <row r="191" spans="1:9" x14ac:dyDescent="0.25">
      <c r="A191" t="s">
        <v>412</v>
      </c>
      <c r="B191" t="s">
        <v>233</v>
      </c>
      <c r="C191" t="s">
        <v>177</v>
      </c>
      <c r="D191" t="s">
        <v>159</v>
      </c>
      <c r="E191" t="s">
        <v>92</v>
      </c>
      <c r="F191">
        <v>42</v>
      </c>
      <c r="G191">
        <v>6300</v>
      </c>
      <c r="H191">
        <v>2520</v>
      </c>
      <c r="I191" t="s">
        <v>41</v>
      </c>
    </row>
    <row r="192" spans="1:9" x14ac:dyDescent="0.25">
      <c r="A192" t="s">
        <v>413</v>
      </c>
      <c r="B192" t="s">
        <v>240</v>
      </c>
      <c r="C192" t="s">
        <v>177</v>
      </c>
      <c r="D192" t="s">
        <v>169</v>
      </c>
      <c r="E192" t="s">
        <v>86</v>
      </c>
      <c r="F192">
        <v>196</v>
      </c>
      <c r="G192">
        <v>29400</v>
      </c>
      <c r="H192">
        <v>11760</v>
      </c>
      <c r="I192" t="s">
        <v>21</v>
      </c>
    </row>
    <row r="193" spans="1:9" x14ac:dyDescent="0.25">
      <c r="A193" t="s">
        <v>414</v>
      </c>
      <c r="B193" t="s">
        <v>201</v>
      </c>
      <c r="C193" t="s">
        <v>177</v>
      </c>
      <c r="D193" t="s">
        <v>132</v>
      </c>
      <c r="E193" t="s">
        <v>55</v>
      </c>
      <c r="F193">
        <v>111</v>
      </c>
      <c r="G193">
        <v>16650</v>
      </c>
      <c r="H193">
        <v>6660</v>
      </c>
      <c r="I193" t="s">
        <v>9</v>
      </c>
    </row>
    <row r="194" spans="1:9" x14ac:dyDescent="0.25">
      <c r="A194" t="s">
        <v>415</v>
      </c>
      <c r="B194" t="s">
        <v>246</v>
      </c>
      <c r="C194" t="s">
        <v>183</v>
      </c>
      <c r="D194" t="s">
        <v>147</v>
      </c>
      <c r="E194" t="s">
        <v>5</v>
      </c>
      <c r="F194">
        <v>77</v>
      </c>
      <c r="G194">
        <v>23100</v>
      </c>
      <c r="H194">
        <v>9240</v>
      </c>
      <c r="I194" t="s">
        <v>9</v>
      </c>
    </row>
    <row r="195" spans="1:9" x14ac:dyDescent="0.25">
      <c r="A195" t="s">
        <v>416</v>
      </c>
      <c r="B195" t="s">
        <v>217</v>
      </c>
      <c r="C195" t="s">
        <v>179</v>
      </c>
      <c r="D195" t="s">
        <v>167</v>
      </c>
      <c r="E195" t="s">
        <v>96</v>
      </c>
      <c r="F195">
        <v>173</v>
      </c>
      <c r="G195">
        <v>3460</v>
      </c>
      <c r="H195">
        <v>1384</v>
      </c>
      <c r="I195" t="s">
        <v>9</v>
      </c>
    </row>
    <row r="196" spans="1:9" x14ac:dyDescent="0.25">
      <c r="A196" t="s">
        <v>417</v>
      </c>
      <c r="B196" t="s">
        <v>267</v>
      </c>
      <c r="C196" t="s">
        <v>177</v>
      </c>
      <c r="D196" t="s">
        <v>159</v>
      </c>
      <c r="E196" t="s">
        <v>90</v>
      </c>
      <c r="F196">
        <v>128</v>
      </c>
      <c r="G196">
        <v>19200</v>
      </c>
      <c r="H196">
        <v>7680</v>
      </c>
      <c r="I196" t="s">
        <v>30</v>
      </c>
    </row>
    <row r="197" spans="1:9" x14ac:dyDescent="0.25">
      <c r="A197" t="s">
        <v>418</v>
      </c>
      <c r="B197" t="s">
        <v>233</v>
      </c>
      <c r="C197" t="s">
        <v>179</v>
      </c>
      <c r="D197" t="s">
        <v>165</v>
      </c>
      <c r="E197" t="s">
        <v>118</v>
      </c>
      <c r="F197">
        <v>144</v>
      </c>
      <c r="G197">
        <v>2880</v>
      </c>
      <c r="H197">
        <v>1152</v>
      </c>
      <c r="I197" t="s">
        <v>30</v>
      </c>
    </row>
    <row r="198" spans="1:9" x14ac:dyDescent="0.25">
      <c r="A198" t="s">
        <v>419</v>
      </c>
      <c r="B198" t="s">
        <v>193</v>
      </c>
      <c r="C198" t="s">
        <v>181</v>
      </c>
      <c r="D198" t="s">
        <v>151</v>
      </c>
      <c r="E198" t="s">
        <v>44</v>
      </c>
      <c r="F198">
        <v>183</v>
      </c>
      <c r="G198">
        <v>91500</v>
      </c>
      <c r="H198">
        <v>36600</v>
      </c>
      <c r="I198" t="s">
        <v>30</v>
      </c>
    </row>
    <row r="199" spans="1:9" x14ac:dyDescent="0.25">
      <c r="A199" t="s">
        <v>420</v>
      </c>
      <c r="B199" t="s">
        <v>221</v>
      </c>
      <c r="C199" t="s">
        <v>183</v>
      </c>
      <c r="D199" t="s">
        <v>155</v>
      </c>
      <c r="E199" t="s">
        <v>48</v>
      </c>
      <c r="F199">
        <v>110</v>
      </c>
      <c r="G199">
        <v>33000</v>
      </c>
      <c r="H199">
        <v>13200</v>
      </c>
      <c r="I199" t="s">
        <v>14</v>
      </c>
    </row>
    <row r="200" spans="1:9" x14ac:dyDescent="0.25">
      <c r="A200" t="s">
        <v>421</v>
      </c>
      <c r="B200" t="s">
        <v>233</v>
      </c>
      <c r="C200" t="s">
        <v>179</v>
      </c>
      <c r="D200" t="s">
        <v>161</v>
      </c>
      <c r="E200" t="s">
        <v>112</v>
      </c>
      <c r="F200">
        <v>102</v>
      </c>
      <c r="G200">
        <v>2040</v>
      </c>
      <c r="H200">
        <v>816</v>
      </c>
      <c r="I200" t="s">
        <v>14</v>
      </c>
    </row>
    <row r="201" spans="1:9" x14ac:dyDescent="0.25">
      <c r="A201" t="s">
        <v>422</v>
      </c>
      <c r="B201" t="s">
        <v>293</v>
      </c>
      <c r="C201" t="s">
        <v>185</v>
      </c>
      <c r="D201" t="s">
        <v>138</v>
      </c>
      <c r="E201" t="s">
        <v>84</v>
      </c>
      <c r="F201">
        <v>14</v>
      </c>
      <c r="G201">
        <v>28000</v>
      </c>
      <c r="H201">
        <v>8400</v>
      </c>
      <c r="I201" t="s">
        <v>18</v>
      </c>
    </row>
    <row r="202" spans="1:9" x14ac:dyDescent="0.25">
      <c r="A202" t="s">
        <v>423</v>
      </c>
      <c r="B202" t="s">
        <v>212</v>
      </c>
      <c r="C202" t="s">
        <v>183</v>
      </c>
      <c r="D202" t="s">
        <v>167</v>
      </c>
      <c r="E202" t="s">
        <v>64</v>
      </c>
      <c r="F202">
        <v>30</v>
      </c>
      <c r="G202">
        <v>9000</v>
      </c>
      <c r="H202">
        <v>3600</v>
      </c>
      <c r="I202" t="s">
        <v>30</v>
      </c>
    </row>
    <row r="203" spans="1:9" x14ac:dyDescent="0.25">
      <c r="A203" t="s">
        <v>424</v>
      </c>
      <c r="B203" t="s">
        <v>214</v>
      </c>
      <c r="C203" t="s">
        <v>181</v>
      </c>
      <c r="D203" t="s">
        <v>135</v>
      </c>
      <c r="E203" t="s">
        <v>88</v>
      </c>
      <c r="F203">
        <v>121</v>
      </c>
      <c r="G203">
        <v>60500</v>
      </c>
      <c r="H203">
        <v>24200</v>
      </c>
      <c r="I203" t="s">
        <v>30</v>
      </c>
    </row>
    <row r="204" spans="1:9" x14ac:dyDescent="0.25">
      <c r="A204" t="s">
        <v>425</v>
      </c>
      <c r="B204" t="s">
        <v>293</v>
      </c>
      <c r="C204" t="s">
        <v>185</v>
      </c>
      <c r="D204" t="s">
        <v>138</v>
      </c>
      <c r="E204" t="s">
        <v>74</v>
      </c>
      <c r="F204">
        <v>172</v>
      </c>
      <c r="G204">
        <v>344000</v>
      </c>
      <c r="H204">
        <v>103200</v>
      </c>
      <c r="I204" t="s">
        <v>9</v>
      </c>
    </row>
    <row r="205" spans="1:9" x14ac:dyDescent="0.25">
      <c r="A205" t="s">
        <v>426</v>
      </c>
      <c r="B205" t="s">
        <v>226</v>
      </c>
      <c r="C205" t="s">
        <v>175</v>
      </c>
      <c r="D205" t="s">
        <v>161</v>
      </c>
      <c r="E205" t="s">
        <v>53</v>
      </c>
      <c r="F205">
        <v>91</v>
      </c>
      <c r="G205">
        <v>109200</v>
      </c>
      <c r="H205">
        <v>36400</v>
      </c>
      <c r="I205" t="s">
        <v>21</v>
      </c>
    </row>
    <row r="206" spans="1:9" x14ac:dyDescent="0.25">
      <c r="A206" t="s">
        <v>427</v>
      </c>
      <c r="B206" t="s">
        <v>212</v>
      </c>
      <c r="C206" t="s">
        <v>185</v>
      </c>
      <c r="D206" t="s">
        <v>155</v>
      </c>
      <c r="E206" t="s">
        <v>104</v>
      </c>
      <c r="F206">
        <v>25</v>
      </c>
      <c r="G206">
        <v>50000</v>
      </c>
      <c r="H206">
        <v>15000</v>
      </c>
      <c r="I206" t="s">
        <v>18</v>
      </c>
    </row>
    <row r="207" spans="1:9" x14ac:dyDescent="0.25">
      <c r="A207" t="s">
        <v>428</v>
      </c>
      <c r="B207" t="s">
        <v>199</v>
      </c>
      <c r="C207" t="s">
        <v>179</v>
      </c>
      <c r="D207" t="s">
        <v>165</v>
      </c>
      <c r="E207" t="s">
        <v>70</v>
      </c>
      <c r="F207">
        <v>86</v>
      </c>
      <c r="G207">
        <v>1720</v>
      </c>
      <c r="H207">
        <v>688</v>
      </c>
      <c r="I207" t="s">
        <v>41</v>
      </c>
    </row>
    <row r="208" spans="1:9" x14ac:dyDescent="0.25">
      <c r="A208" t="s">
        <v>429</v>
      </c>
      <c r="B208" t="s">
        <v>226</v>
      </c>
      <c r="C208" t="s">
        <v>185</v>
      </c>
      <c r="D208" t="s">
        <v>161</v>
      </c>
      <c r="E208" t="s">
        <v>90</v>
      </c>
      <c r="F208">
        <v>14</v>
      </c>
      <c r="G208">
        <v>28000</v>
      </c>
      <c r="H208">
        <v>8400</v>
      </c>
      <c r="I208" t="s">
        <v>30</v>
      </c>
    </row>
    <row r="209" spans="1:9" x14ac:dyDescent="0.25">
      <c r="A209" t="s">
        <v>430</v>
      </c>
      <c r="B209" t="s">
        <v>235</v>
      </c>
      <c r="C209" t="s">
        <v>175</v>
      </c>
      <c r="D209" t="s">
        <v>145</v>
      </c>
      <c r="E209" t="s">
        <v>102</v>
      </c>
      <c r="F209">
        <v>180</v>
      </c>
      <c r="G209">
        <v>216000</v>
      </c>
      <c r="H209">
        <v>72000</v>
      </c>
      <c r="I209" t="s">
        <v>18</v>
      </c>
    </row>
    <row r="210" spans="1:9" x14ac:dyDescent="0.25">
      <c r="A210" t="s">
        <v>431</v>
      </c>
      <c r="B210" t="s">
        <v>197</v>
      </c>
      <c r="C210" t="s">
        <v>179</v>
      </c>
      <c r="D210" t="s">
        <v>145</v>
      </c>
      <c r="E210" t="s">
        <v>116</v>
      </c>
      <c r="F210">
        <v>28</v>
      </c>
      <c r="G210">
        <v>560</v>
      </c>
      <c r="H210">
        <v>224</v>
      </c>
      <c r="I210" t="s">
        <v>18</v>
      </c>
    </row>
    <row r="211" spans="1:9" x14ac:dyDescent="0.25">
      <c r="A211" t="s">
        <v>432</v>
      </c>
      <c r="B211" t="s">
        <v>310</v>
      </c>
      <c r="C211" t="s">
        <v>175</v>
      </c>
      <c r="D211" t="s">
        <v>135</v>
      </c>
      <c r="E211" t="s">
        <v>78</v>
      </c>
      <c r="F211">
        <v>47</v>
      </c>
      <c r="G211">
        <v>56400</v>
      </c>
      <c r="H211">
        <v>18800</v>
      </c>
      <c r="I211" t="s">
        <v>14</v>
      </c>
    </row>
    <row r="212" spans="1:9" x14ac:dyDescent="0.25">
      <c r="A212" t="s">
        <v>433</v>
      </c>
      <c r="B212" t="s">
        <v>207</v>
      </c>
      <c r="C212" t="s">
        <v>179</v>
      </c>
      <c r="D212" t="s">
        <v>126</v>
      </c>
      <c r="E212" t="s">
        <v>15</v>
      </c>
      <c r="F212">
        <v>88</v>
      </c>
      <c r="G212">
        <v>1760</v>
      </c>
      <c r="H212">
        <v>704</v>
      </c>
      <c r="I212" t="s">
        <v>18</v>
      </c>
    </row>
    <row r="213" spans="1:9" x14ac:dyDescent="0.25">
      <c r="A213" t="s">
        <v>434</v>
      </c>
      <c r="B213" t="s">
        <v>197</v>
      </c>
      <c r="C213" t="s">
        <v>175</v>
      </c>
      <c r="D213" t="s">
        <v>149</v>
      </c>
      <c r="E213" t="s">
        <v>66</v>
      </c>
      <c r="F213">
        <v>100</v>
      </c>
      <c r="G213">
        <v>120000</v>
      </c>
      <c r="H213">
        <v>40000</v>
      </c>
      <c r="I213" t="s">
        <v>9</v>
      </c>
    </row>
    <row r="214" spans="1:9" x14ac:dyDescent="0.25">
      <c r="A214" t="s">
        <v>435</v>
      </c>
      <c r="B214" t="s">
        <v>223</v>
      </c>
      <c r="C214" t="s">
        <v>177</v>
      </c>
      <c r="D214" t="s">
        <v>145</v>
      </c>
      <c r="E214" t="s">
        <v>88</v>
      </c>
      <c r="F214">
        <v>110</v>
      </c>
      <c r="G214">
        <v>16500</v>
      </c>
      <c r="H214">
        <v>6600</v>
      </c>
      <c r="I214" t="s">
        <v>30</v>
      </c>
    </row>
    <row r="215" spans="1:9" x14ac:dyDescent="0.25">
      <c r="A215" t="s">
        <v>436</v>
      </c>
      <c r="B215" t="s">
        <v>279</v>
      </c>
      <c r="C215" t="s">
        <v>185</v>
      </c>
      <c r="D215" t="s">
        <v>140</v>
      </c>
      <c r="E215" t="s">
        <v>39</v>
      </c>
      <c r="F215">
        <v>49</v>
      </c>
      <c r="G215">
        <v>98000</v>
      </c>
      <c r="H215">
        <v>29400</v>
      </c>
      <c r="I215" t="s">
        <v>41</v>
      </c>
    </row>
    <row r="216" spans="1:9" x14ac:dyDescent="0.25">
      <c r="A216" t="s">
        <v>437</v>
      </c>
      <c r="B216" t="s">
        <v>193</v>
      </c>
      <c r="C216" t="s">
        <v>183</v>
      </c>
      <c r="D216" t="s">
        <v>155</v>
      </c>
      <c r="E216" t="s">
        <v>100</v>
      </c>
      <c r="F216">
        <v>179</v>
      </c>
      <c r="G216">
        <v>53700</v>
      </c>
      <c r="H216">
        <v>21480</v>
      </c>
      <c r="I216" t="s">
        <v>9</v>
      </c>
    </row>
    <row r="217" spans="1:9" x14ac:dyDescent="0.25">
      <c r="A217" t="s">
        <v>438</v>
      </c>
      <c r="B217" t="s">
        <v>242</v>
      </c>
      <c r="C217" t="s">
        <v>181</v>
      </c>
      <c r="D217" t="s">
        <v>167</v>
      </c>
      <c r="E217" t="s">
        <v>37</v>
      </c>
      <c r="F217">
        <v>64</v>
      </c>
      <c r="G217">
        <v>32000</v>
      </c>
      <c r="H217">
        <v>12800</v>
      </c>
      <c r="I217" t="s">
        <v>21</v>
      </c>
    </row>
    <row r="218" spans="1:9" x14ac:dyDescent="0.25">
      <c r="A218" t="s">
        <v>439</v>
      </c>
      <c r="B218" t="s">
        <v>269</v>
      </c>
      <c r="C218" t="s">
        <v>185</v>
      </c>
      <c r="D218" t="s">
        <v>147</v>
      </c>
      <c r="E218" t="s">
        <v>80</v>
      </c>
      <c r="F218">
        <v>70</v>
      </c>
      <c r="G218">
        <v>140000</v>
      </c>
      <c r="H218">
        <v>42000</v>
      </c>
      <c r="I218" t="s">
        <v>9</v>
      </c>
    </row>
    <row r="219" spans="1:9" x14ac:dyDescent="0.25">
      <c r="A219" t="s">
        <v>440</v>
      </c>
      <c r="B219" t="s">
        <v>203</v>
      </c>
      <c r="C219" t="s">
        <v>175</v>
      </c>
      <c r="D219" t="s">
        <v>159</v>
      </c>
      <c r="E219" t="s">
        <v>58</v>
      </c>
      <c r="F219">
        <v>178</v>
      </c>
      <c r="G219">
        <v>213600</v>
      </c>
      <c r="H219">
        <v>71200</v>
      </c>
      <c r="I219" t="s">
        <v>41</v>
      </c>
    </row>
    <row r="220" spans="1:9" x14ac:dyDescent="0.25">
      <c r="A220" t="s">
        <v>441</v>
      </c>
      <c r="B220" t="s">
        <v>223</v>
      </c>
      <c r="C220" t="s">
        <v>177</v>
      </c>
      <c r="D220" t="s">
        <v>132</v>
      </c>
      <c r="E220" t="s">
        <v>78</v>
      </c>
      <c r="F220">
        <v>93</v>
      </c>
      <c r="G220">
        <v>13950</v>
      </c>
      <c r="H220">
        <v>5580</v>
      </c>
      <c r="I220" t="s">
        <v>14</v>
      </c>
    </row>
    <row r="221" spans="1:9" x14ac:dyDescent="0.25">
      <c r="A221" t="s">
        <v>442</v>
      </c>
      <c r="B221" t="s">
        <v>242</v>
      </c>
      <c r="C221" t="s">
        <v>179</v>
      </c>
      <c r="D221" t="s">
        <v>157</v>
      </c>
      <c r="E221" t="s">
        <v>110</v>
      </c>
      <c r="F221">
        <v>69</v>
      </c>
      <c r="G221">
        <v>1380</v>
      </c>
      <c r="H221">
        <v>552</v>
      </c>
      <c r="I221" t="s">
        <v>21</v>
      </c>
    </row>
    <row r="222" spans="1:9" x14ac:dyDescent="0.25">
      <c r="A222" t="s">
        <v>443</v>
      </c>
      <c r="B222" t="s">
        <v>195</v>
      </c>
      <c r="C222" t="s">
        <v>179</v>
      </c>
      <c r="D222" t="s">
        <v>142</v>
      </c>
      <c r="E222" t="s">
        <v>70</v>
      </c>
      <c r="F222">
        <v>128</v>
      </c>
      <c r="G222">
        <v>2560</v>
      </c>
      <c r="H222">
        <v>1024</v>
      </c>
      <c r="I222" t="s">
        <v>41</v>
      </c>
    </row>
    <row r="223" spans="1:9" x14ac:dyDescent="0.25">
      <c r="A223" t="s">
        <v>444</v>
      </c>
      <c r="B223" t="s">
        <v>223</v>
      </c>
      <c r="C223" t="s">
        <v>177</v>
      </c>
      <c r="D223" t="s">
        <v>155</v>
      </c>
      <c r="E223" t="s">
        <v>94</v>
      </c>
      <c r="F223">
        <v>96</v>
      </c>
      <c r="G223">
        <v>14400</v>
      </c>
      <c r="H223">
        <v>5760</v>
      </c>
      <c r="I223" t="s">
        <v>9</v>
      </c>
    </row>
    <row r="224" spans="1:9" x14ac:dyDescent="0.25">
      <c r="A224" t="s">
        <v>445</v>
      </c>
      <c r="B224" t="s">
        <v>233</v>
      </c>
      <c r="C224" t="s">
        <v>179</v>
      </c>
      <c r="D224" t="s">
        <v>149</v>
      </c>
      <c r="E224" t="s">
        <v>10</v>
      </c>
      <c r="F224">
        <v>173</v>
      </c>
      <c r="G224">
        <v>3460</v>
      </c>
      <c r="H224">
        <v>1384</v>
      </c>
      <c r="I224" t="s">
        <v>14</v>
      </c>
    </row>
    <row r="225" spans="1:9" x14ac:dyDescent="0.25">
      <c r="A225" t="s">
        <v>446</v>
      </c>
      <c r="B225" t="s">
        <v>253</v>
      </c>
      <c r="C225" t="s">
        <v>179</v>
      </c>
      <c r="D225" t="s">
        <v>126</v>
      </c>
      <c r="E225" t="s">
        <v>94</v>
      </c>
      <c r="F225">
        <v>180</v>
      </c>
      <c r="G225">
        <v>3600</v>
      </c>
      <c r="H225">
        <v>1440</v>
      </c>
      <c r="I225" t="s">
        <v>9</v>
      </c>
    </row>
    <row r="226" spans="1:9" x14ac:dyDescent="0.25">
      <c r="A226" t="s">
        <v>447</v>
      </c>
      <c r="B226" t="s">
        <v>217</v>
      </c>
      <c r="C226" t="s">
        <v>185</v>
      </c>
      <c r="D226" t="s">
        <v>129</v>
      </c>
      <c r="E226" t="s">
        <v>98</v>
      </c>
      <c r="F226">
        <v>195</v>
      </c>
      <c r="G226">
        <v>390000</v>
      </c>
      <c r="H226">
        <v>117000</v>
      </c>
      <c r="I226" t="s">
        <v>30</v>
      </c>
    </row>
    <row r="227" spans="1:9" x14ac:dyDescent="0.25">
      <c r="A227" t="s">
        <v>448</v>
      </c>
      <c r="B227" t="s">
        <v>193</v>
      </c>
      <c r="C227" t="s">
        <v>179</v>
      </c>
      <c r="D227" t="s">
        <v>145</v>
      </c>
      <c r="E227" t="s">
        <v>98</v>
      </c>
      <c r="F227">
        <v>95</v>
      </c>
      <c r="G227">
        <v>1900</v>
      </c>
      <c r="H227">
        <v>760</v>
      </c>
      <c r="I227" t="s">
        <v>30</v>
      </c>
    </row>
    <row r="228" spans="1:9" x14ac:dyDescent="0.25">
      <c r="A228" t="s">
        <v>449</v>
      </c>
      <c r="B228" t="s">
        <v>269</v>
      </c>
      <c r="C228" t="s">
        <v>185</v>
      </c>
      <c r="D228" t="s">
        <v>142</v>
      </c>
      <c r="E228" t="s">
        <v>100</v>
      </c>
      <c r="F228">
        <v>69</v>
      </c>
      <c r="G228">
        <v>138000</v>
      </c>
      <c r="H228">
        <v>41400</v>
      </c>
      <c r="I228" t="s">
        <v>9</v>
      </c>
    </row>
    <row r="229" spans="1:9" x14ac:dyDescent="0.25">
      <c r="A229" t="s">
        <v>450</v>
      </c>
      <c r="B229" t="s">
        <v>240</v>
      </c>
      <c r="C229" t="s">
        <v>185</v>
      </c>
      <c r="D229" t="s">
        <v>138</v>
      </c>
      <c r="E229" t="s">
        <v>102</v>
      </c>
      <c r="F229">
        <v>29</v>
      </c>
      <c r="G229">
        <v>58000</v>
      </c>
      <c r="H229">
        <v>17400</v>
      </c>
      <c r="I229" t="s">
        <v>18</v>
      </c>
    </row>
    <row r="230" spans="1:9" x14ac:dyDescent="0.25">
      <c r="A230" t="s">
        <v>451</v>
      </c>
      <c r="B230" t="s">
        <v>221</v>
      </c>
      <c r="C230" t="s">
        <v>185</v>
      </c>
      <c r="D230" t="s">
        <v>129</v>
      </c>
      <c r="E230" t="s">
        <v>60</v>
      </c>
      <c r="F230">
        <v>117</v>
      </c>
      <c r="G230">
        <v>234000</v>
      </c>
      <c r="H230">
        <v>70200</v>
      </c>
      <c r="I230" t="s">
        <v>9</v>
      </c>
    </row>
    <row r="231" spans="1:9" x14ac:dyDescent="0.25">
      <c r="A231" t="s">
        <v>452</v>
      </c>
      <c r="B231" t="s">
        <v>279</v>
      </c>
      <c r="C231" t="s">
        <v>183</v>
      </c>
      <c r="D231" t="s">
        <v>153</v>
      </c>
      <c r="E231" t="s">
        <v>114</v>
      </c>
      <c r="F231">
        <v>38</v>
      </c>
      <c r="G231">
        <v>11400</v>
      </c>
      <c r="H231">
        <v>4560</v>
      </c>
      <c r="I231" t="s">
        <v>21</v>
      </c>
    </row>
    <row r="232" spans="1:9" x14ac:dyDescent="0.25">
      <c r="A232" t="s">
        <v>453</v>
      </c>
      <c r="B232" t="s">
        <v>210</v>
      </c>
      <c r="C232" t="s">
        <v>179</v>
      </c>
      <c r="D232" t="s">
        <v>151</v>
      </c>
      <c r="E232" t="s">
        <v>116</v>
      </c>
      <c r="F232">
        <v>111</v>
      </c>
      <c r="G232">
        <v>2220</v>
      </c>
      <c r="H232">
        <v>888</v>
      </c>
      <c r="I232" t="s">
        <v>18</v>
      </c>
    </row>
    <row r="233" spans="1:9" x14ac:dyDescent="0.25">
      <c r="A233" t="s">
        <v>454</v>
      </c>
      <c r="B233" t="s">
        <v>238</v>
      </c>
      <c r="C233" t="s">
        <v>177</v>
      </c>
      <c r="D233" t="s">
        <v>138</v>
      </c>
      <c r="E233" t="s">
        <v>90</v>
      </c>
      <c r="F233">
        <v>98</v>
      </c>
      <c r="G233">
        <v>14700</v>
      </c>
      <c r="H233">
        <v>5880</v>
      </c>
      <c r="I233" t="s">
        <v>30</v>
      </c>
    </row>
    <row r="234" spans="1:9" x14ac:dyDescent="0.25">
      <c r="A234" t="s">
        <v>455</v>
      </c>
      <c r="B234" t="s">
        <v>235</v>
      </c>
      <c r="C234" t="s">
        <v>183</v>
      </c>
      <c r="D234" t="s">
        <v>147</v>
      </c>
      <c r="E234" t="s">
        <v>39</v>
      </c>
      <c r="F234">
        <v>70</v>
      </c>
      <c r="G234">
        <v>21000</v>
      </c>
      <c r="H234">
        <v>8400</v>
      </c>
      <c r="I234" t="s">
        <v>41</v>
      </c>
    </row>
    <row r="235" spans="1:9" x14ac:dyDescent="0.25">
      <c r="A235" t="s">
        <v>456</v>
      </c>
      <c r="B235" t="s">
        <v>207</v>
      </c>
      <c r="C235" t="s">
        <v>181</v>
      </c>
      <c r="D235" t="s">
        <v>149</v>
      </c>
      <c r="E235" t="s">
        <v>116</v>
      </c>
      <c r="F235">
        <v>91</v>
      </c>
      <c r="G235">
        <v>45500</v>
      </c>
      <c r="H235">
        <v>18200</v>
      </c>
      <c r="I235" t="s">
        <v>18</v>
      </c>
    </row>
    <row r="236" spans="1:9" x14ac:dyDescent="0.25">
      <c r="A236" t="s">
        <v>457</v>
      </c>
      <c r="B236" t="s">
        <v>253</v>
      </c>
      <c r="C236" t="s">
        <v>175</v>
      </c>
      <c r="D236" t="s">
        <v>159</v>
      </c>
      <c r="E236" t="s">
        <v>22</v>
      </c>
      <c r="F236">
        <v>41</v>
      </c>
      <c r="G236">
        <v>49200</v>
      </c>
      <c r="H236">
        <v>16400</v>
      </c>
      <c r="I236" t="s">
        <v>18</v>
      </c>
    </row>
    <row r="237" spans="1:9" x14ac:dyDescent="0.25">
      <c r="A237" t="s">
        <v>458</v>
      </c>
      <c r="B237" t="s">
        <v>279</v>
      </c>
      <c r="C237" t="s">
        <v>177</v>
      </c>
      <c r="D237" t="s">
        <v>155</v>
      </c>
      <c r="E237" t="s">
        <v>92</v>
      </c>
      <c r="F237">
        <v>98</v>
      </c>
      <c r="G237">
        <v>14700</v>
      </c>
      <c r="H237">
        <v>5880</v>
      </c>
      <c r="I237" t="s">
        <v>41</v>
      </c>
    </row>
    <row r="238" spans="1:9" x14ac:dyDescent="0.25">
      <c r="A238" t="s">
        <v>459</v>
      </c>
      <c r="B238" t="s">
        <v>195</v>
      </c>
      <c r="C238" t="s">
        <v>181</v>
      </c>
      <c r="D238" t="s">
        <v>126</v>
      </c>
      <c r="E238" t="s">
        <v>53</v>
      </c>
      <c r="F238">
        <v>142</v>
      </c>
      <c r="G238">
        <v>71000</v>
      </c>
      <c r="H238">
        <v>28400</v>
      </c>
      <c r="I238" t="s">
        <v>21</v>
      </c>
    </row>
    <row r="239" spans="1:9" x14ac:dyDescent="0.25">
      <c r="A239" t="s">
        <v>460</v>
      </c>
      <c r="B239" t="s">
        <v>269</v>
      </c>
      <c r="C239" t="s">
        <v>181</v>
      </c>
      <c r="D239" t="s">
        <v>153</v>
      </c>
      <c r="E239" t="s">
        <v>108</v>
      </c>
      <c r="F239">
        <v>196</v>
      </c>
      <c r="G239">
        <v>98000</v>
      </c>
      <c r="H239">
        <v>39200</v>
      </c>
      <c r="I239" t="s">
        <v>21</v>
      </c>
    </row>
    <row r="240" spans="1:9" x14ac:dyDescent="0.25">
      <c r="A240" t="s">
        <v>461</v>
      </c>
      <c r="B240" t="s">
        <v>219</v>
      </c>
      <c r="C240" t="s">
        <v>179</v>
      </c>
      <c r="D240" t="s">
        <v>167</v>
      </c>
      <c r="E240" t="s">
        <v>70</v>
      </c>
      <c r="F240">
        <v>168</v>
      </c>
      <c r="G240">
        <v>3360</v>
      </c>
      <c r="H240">
        <v>1344</v>
      </c>
      <c r="I240" t="s">
        <v>41</v>
      </c>
    </row>
    <row r="241" spans="1:9" x14ac:dyDescent="0.25">
      <c r="A241" t="s">
        <v>462</v>
      </c>
      <c r="B241" t="s">
        <v>217</v>
      </c>
      <c r="C241" t="s">
        <v>179</v>
      </c>
      <c r="D241" t="s">
        <v>135</v>
      </c>
      <c r="E241" t="s">
        <v>108</v>
      </c>
      <c r="F241">
        <v>64</v>
      </c>
      <c r="G241">
        <v>1280</v>
      </c>
      <c r="H241">
        <v>512</v>
      </c>
      <c r="I241" t="s">
        <v>21</v>
      </c>
    </row>
    <row r="242" spans="1:9" x14ac:dyDescent="0.25">
      <c r="A242" t="s">
        <v>463</v>
      </c>
      <c r="B242" t="s">
        <v>235</v>
      </c>
      <c r="C242" t="s">
        <v>175</v>
      </c>
      <c r="D242" t="s">
        <v>169</v>
      </c>
      <c r="E242" t="s">
        <v>92</v>
      </c>
      <c r="F242">
        <v>88</v>
      </c>
      <c r="G242">
        <v>105600</v>
      </c>
      <c r="H242">
        <v>35200</v>
      </c>
      <c r="I242" t="s">
        <v>41</v>
      </c>
    </row>
    <row r="243" spans="1:9" x14ac:dyDescent="0.25">
      <c r="A243" t="s">
        <v>464</v>
      </c>
      <c r="B243" t="s">
        <v>199</v>
      </c>
      <c r="C243" t="s">
        <v>183</v>
      </c>
      <c r="D243" t="s">
        <v>145</v>
      </c>
      <c r="E243" t="s">
        <v>104</v>
      </c>
      <c r="F243">
        <v>21</v>
      </c>
      <c r="G243">
        <v>6300</v>
      </c>
      <c r="H243">
        <v>2520</v>
      </c>
      <c r="I243" t="s">
        <v>18</v>
      </c>
    </row>
    <row r="244" spans="1:9" x14ac:dyDescent="0.25">
      <c r="A244" t="s">
        <v>465</v>
      </c>
      <c r="B244" t="s">
        <v>195</v>
      </c>
      <c r="C244" t="s">
        <v>181</v>
      </c>
      <c r="D244" t="s">
        <v>149</v>
      </c>
      <c r="E244" t="s">
        <v>104</v>
      </c>
      <c r="F244">
        <v>109</v>
      </c>
      <c r="G244">
        <v>54500</v>
      </c>
      <c r="H244">
        <v>21800</v>
      </c>
      <c r="I244" t="s">
        <v>18</v>
      </c>
    </row>
    <row r="245" spans="1:9" x14ac:dyDescent="0.25">
      <c r="A245" t="s">
        <v>466</v>
      </c>
      <c r="B245" t="s">
        <v>217</v>
      </c>
      <c r="C245" t="s">
        <v>177</v>
      </c>
      <c r="D245" t="s">
        <v>129</v>
      </c>
      <c r="E245" t="s">
        <v>15</v>
      </c>
      <c r="F245">
        <v>82</v>
      </c>
      <c r="G245">
        <v>12300</v>
      </c>
      <c r="H245">
        <v>4920</v>
      </c>
      <c r="I245" t="s">
        <v>18</v>
      </c>
    </row>
    <row r="246" spans="1:9" x14ac:dyDescent="0.25">
      <c r="A246" t="s">
        <v>467</v>
      </c>
      <c r="B246" t="s">
        <v>293</v>
      </c>
      <c r="C246" t="s">
        <v>175</v>
      </c>
      <c r="D246" t="s">
        <v>135</v>
      </c>
      <c r="E246" t="s">
        <v>50</v>
      </c>
      <c r="F246">
        <v>142</v>
      </c>
      <c r="G246">
        <v>170400</v>
      </c>
      <c r="H246">
        <v>56800</v>
      </c>
      <c r="I246" t="s">
        <v>14</v>
      </c>
    </row>
    <row r="247" spans="1:9" x14ac:dyDescent="0.25">
      <c r="A247" t="s">
        <v>468</v>
      </c>
      <c r="B247" t="s">
        <v>219</v>
      </c>
      <c r="C247" t="s">
        <v>181</v>
      </c>
      <c r="D247" t="s">
        <v>159</v>
      </c>
      <c r="E247" t="s">
        <v>68</v>
      </c>
      <c r="F247">
        <v>176</v>
      </c>
      <c r="G247">
        <v>88000</v>
      </c>
      <c r="H247">
        <v>35200</v>
      </c>
      <c r="I247" t="s">
        <v>41</v>
      </c>
    </row>
    <row r="248" spans="1:9" x14ac:dyDescent="0.25">
      <c r="A248" t="s">
        <v>469</v>
      </c>
      <c r="B248" t="s">
        <v>246</v>
      </c>
      <c r="C248" t="s">
        <v>185</v>
      </c>
      <c r="D248" t="s">
        <v>165</v>
      </c>
      <c r="E248" t="s">
        <v>74</v>
      </c>
      <c r="F248">
        <v>155</v>
      </c>
      <c r="G248">
        <v>310000</v>
      </c>
      <c r="H248">
        <v>93000</v>
      </c>
      <c r="I248" t="s">
        <v>9</v>
      </c>
    </row>
    <row r="249" spans="1:9" x14ac:dyDescent="0.25">
      <c r="A249" t="s">
        <v>470</v>
      </c>
      <c r="B249" t="s">
        <v>195</v>
      </c>
      <c r="C249" t="s">
        <v>185</v>
      </c>
      <c r="D249" t="s">
        <v>138</v>
      </c>
      <c r="E249" t="s">
        <v>74</v>
      </c>
      <c r="F249">
        <v>172</v>
      </c>
      <c r="G249">
        <v>344000</v>
      </c>
      <c r="H249">
        <v>103200</v>
      </c>
      <c r="I249" t="s">
        <v>9</v>
      </c>
    </row>
    <row r="250" spans="1:9" x14ac:dyDescent="0.25">
      <c r="A250" t="s">
        <v>471</v>
      </c>
      <c r="B250" t="s">
        <v>221</v>
      </c>
      <c r="C250" t="s">
        <v>181</v>
      </c>
      <c r="D250" t="s">
        <v>169</v>
      </c>
      <c r="E250" t="s">
        <v>74</v>
      </c>
      <c r="F250">
        <v>76</v>
      </c>
      <c r="G250">
        <v>38000</v>
      </c>
      <c r="H250">
        <v>15200</v>
      </c>
      <c r="I250" t="s">
        <v>9</v>
      </c>
    </row>
    <row r="251" spans="1:9" x14ac:dyDescent="0.25">
      <c r="A251" t="s">
        <v>472</v>
      </c>
      <c r="B251" t="s">
        <v>242</v>
      </c>
      <c r="C251" t="s">
        <v>185</v>
      </c>
      <c r="D251" t="s">
        <v>153</v>
      </c>
      <c r="E251" t="s">
        <v>46</v>
      </c>
      <c r="F251">
        <v>118</v>
      </c>
      <c r="G251">
        <v>236000</v>
      </c>
      <c r="H251">
        <v>70800</v>
      </c>
      <c r="I251" t="s">
        <v>9</v>
      </c>
    </row>
    <row r="252" spans="1:9" x14ac:dyDescent="0.25">
      <c r="A252" t="s">
        <v>473</v>
      </c>
      <c r="B252" t="s">
        <v>267</v>
      </c>
      <c r="C252" t="s">
        <v>177</v>
      </c>
      <c r="D252" t="s">
        <v>153</v>
      </c>
      <c r="E252" t="s">
        <v>27</v>
      </c>
      <c r="F252">
        <v>180</v>
      </c>
      <c r="G252">
        <v>27000</v>
      </c>
      <c r="H252">
        <v>10800</v>
      </c>
      <c r="I252" t="s">
        <v>30</v>
      </c>
    </row>
    <row r="253" spans="1:9" x14ac:dyDescent="0.25">
      <c r="A253" t="s">
        <v>474</v>
      </c>
      <c r="B253" t="s">
        <v>205</v>
      </c>
      <c r="C253" t="s">
        <v>183</v>
      </c>
      <c r="D253" t="s">
        <v>153</v>
      </c>
      <c r="E253" t="s">
        <v>19</v>
      </c>
      <c r="F253">
        <v>106</v>
      </c>
      <c r="G253">
        <v>31800</v>
      </c>
      <c r="H253">
        <v>12720</v>
      </c>
      <c r="I253" t="s">
        <v>21</v>
      </c>
    </row>
    <row r="254" spans="1:9" x14ac:dyDescent="0.25">
      <c r="A254" t="s">
        <v>475</v>
      </c>
      <c r="B254" t="s">
        <v>269</v>
      </c>
      <c r="C254" t="s">
        <v>177</v>
      </c>
      <c r="D254" t="s">
        <v>135</v>
      </c>
      <c r="E254" t="s">
        <v>80</v>
      </c>
      <c r="F254">
        <v>28</v>
      </c>
      <c r="G254">
        <v>4200</v>
      </c>
      <c r="H254">
        <v>1680</v>
      </c>
      <c r="I254" t="s">
        <v>9</v>
      </c>
    </row>
    <row r="255" spans="1:9" x14ac:dyDescent="0.25">
      <c r="A255" t="s">
        <v>476</v>
      </c>
      <c r="B255" t="s">
        <v>207</v>
      </c>
      <c r="C255" t="s">
        <v>177</v>
      </c>
      <c r="D255" t="s">
        <v>169</v>
      </c>
      <c r="E255" t="s">
        <v>10</v>
      </c>
      <c r="F255">
        <v>17</v>
      </c>
      <c r="G255">
        <v>2550</v>
      </c>
      <c r="H255">
        <v>1020</v>
      </c>
      <c r="I255" t="s">
        <v>14</v>
      </c>
    </row>
    <row r="256" spans="1:9" x14ac:dyDescent="0.25">
      <c r="A256" t="s">
        <v>477</v>
      </c>
      <c r="B256" t="s">
        <v>231</v>
      </c>
      <c r="C256" t="s">
        <v>179</v>
      </c>
      <c r="D256" t="s">
        <v>145</v>
      </c>
      <c r="E256" t="s">
        <v>34</v>
      </c>
      <c r="F256">
        <v>149</v>
      </c>
      <c r="G256">
        <v>2980</v>
      </c>
      <c r="H256">
        <v>1192</v>
      </c>
      <c r="I256" t="s">
        <v>14</v>
      </c>
    </row>
    <row r="257" spans="1:9" x14ac:dyDescent="0.25">
      <c r="A257" t="s">
        <v>478</v>
      </c>
      <c r="B257" t="s">
        <v>231</v>
      </c>
      <c r="C257" t="s">
        <v>175</v>
      </c>
      <c r="D257" t="s">
        <v>165</v>
      </c>
      <c r="E257" t="s">
        <v>46</v>
      </c>
      <c r="F257">
        <v>155</v>
      </c>
      <c r="G257">
        <v>186000</v>
      </c>
      <c r="H257">
        <v>62000</v>
      </c>
      <c r="I257" t="s">
        <v>9</v>
      </c>
    </row>
    <row r="258" spans="1:9" x14ac:dyDescent="0.25">
      <c r="A258" t="s">
        <v>479</v>
      </c>
      <c r="B258" t="s">
        <v>207</v>
      </c>
      <c r="C258" t="s">
        <v>177</v>
      </c>
      <c r="D258" t="s">
        <v>151</v>
      </c>
      <c r="E258" t="s">
        <v>120</v>
      </c>
      <c r="F258">
        <v>42</v>
      </c>
      <c r="G258">
        <v>6300</v>
      </c>
      <c r="H258">
        <v>2520</v>
      </c>
      <c r="I258" t="s">
        <v>18</v>
      </c>
    </row>
    <row r="259" spans="1:9" x14ac:dyDescent="0.25">
      <c r="A259" t="s">
        <v>480</v>
      </c>
      <c r="B259" t="s">
        <v>293</v>
      </c>
      <c r="C259" t="s">
        <v>183</v>
      </c>
      <c r="D259" t="s">
        <v>126</v>
      </c>
      <c r="E259" t="s">
        <v>55</v>
      </c>
      <c r="F259">
        <v>42</v>
      </c>
      <c r="G259">
        <v>12600</v>
      </c>
      <c r="H259">
        <v>5040</v>
      </c>
      <c r="I259" t="s">
        <v>9</v>
      </c>
    </row>
    <row r="260" spans="1:9" x14ac:dyDescent="0.25">
      <c r="A260" t="s">
        <v>481</v>
      </c>
      <c r="B260" t="s">
        <v>269</v>
      </c>
      <c r="C260" t="s">
        <v>183</v>
      </c>
      <c r="D260" t="s">
        <v>147</v>
      </c>
      <c r="E260" t="s">
        <v>42</v>
      </c>
      <c r="F260">
        <v>33</v>
      </c>
      <c r="G260">
        <v>9900</v>
      </c>
      <c r="H260">
        <v>3960</v>
      </c>
      <c r="I260" t="s">
        <v>9</v>
      </c>
    </row>
    <row r="261" spans="1:9" x14ac:dyDescent="0.25">
      <c r="A261" t="s">
        <v>482</v>
      </c>
      <c r="B261" t="s">
        <v>207</v>
      </c>
      <c r="C261" t="s">
        <v>175</v>
      </c>
      <c r="D261" t="s">
        <v>138</v>
      </c>
      <c r="E261" t="s">
        <v>5</v>
      </c>
      <c r="F261">
        <v>96</v>
      </c>
      <c r="G261">
        <v>115200</v>
      </c>
      <c r="H261">
        <v>38400</v>
      </c>
      <c r="I261" t="s">
        <v>9</v>
      </c>
    </row>
    <row r="262" spans="1:9" x14ac:dyDescent="0.25">
      <c r="A262" t="s">
        <v>483</v>
      </c>
      <c r="B262" t="s">
        <v>210</v>
      </c>
      <c r="C262" t="s">
        <v>177</v>
      </c>
      <c r="D262" t="s">
        <v>167</v>
      </c>
      <c r="E262" t="s">
        <v>62</v>
      </c>
      <c r="F262">
        <v>9</v>
      </c>
      <c r="G262">
        <v>1350</v>
      </c>
      <c r="H262">
        <v>540</v>
      </c>
      <c r="I262" t="s">
        <v>14</v>
      </c>
    </row>
    <row r="263" spans="1:9" x14ac:dyDescent="0.25">
      <c r="A263" t="s">
        <v>484</v>
      </c>
      <c r="B263" t="s">
        <v>197</v>
      </c>
      <c r="C263" t="s">
        <v>179</v>
      </c>
      <c r="D263" t="s">
        <v>129</v>
      </c>
      <c r="E263" t="s">
        <v>34</v>
      </c>
      <c r="F263">
        <v>194</v>
      </c>
      <c r="G263">
        <v>3880</v>
      </c>
      <c r="H263">
        <v>1552</v>
      </c>
      <c r="I263" t="s">
        <v>14</v>
      </c>
    </row>
    <row r="264" spans="1:9" x14ac:dyDescent="0.25">
      <c r="A264" t="s">
        <v>485</v>
      </c>
      <c r="B264" t="s">
        <v>217</v>
      </c>
      <c r="C264" t="s">
        <v>183</v>
      </c>
      <c r="D264" t="s">
        <v>135</v>
      </c>
      <c r="E264" t="s">
        <v>116</v>
      </c>
      <c r="F264">
        <v>21</v>
      </c>
      <c r="G264">
        <v>6300</v>
      </c>
      <c r="H264">
        <v>2520</v>
      </c>
      <c r="I264" t="s">
        <v>18</v>
      </c>
    </row>
    <row r="265" spans="1:9" x14ac:dyDescent="0.25">
      <c r="A265" t="s">
        <v>486</v>
      </c>
      <c r="B265" t="s">
        <v>195</v>
      </c>
      <c r="C265" t="s">
        <v>181</v>
      </c>
      <c r="D265" t="s">
        <v>153</v>
      </c>
      <c r="E265" t="s">
        <v>86</v>
      </c>
      <c r="F265">
        <v>156</v>
      </c>
      <c r="G265">
        <v>78000</v>
      </c>
      <c r="H265">
        <v>31200</v>
      </c>
      <c r="I265" t="s">
        <v>21</v>
      </c>
    </row>
    <row r="266" spans="1:9" x14ac:dyDescent="0.25">
      <c r="A266" t="s">
        <v>487</v>
      </c>
      <c r="B266" t="s">
        <v>221</v>
      </c>
      <c r="C266" t="s">
        <v>181</v>
      </c>
      <c r="D266" t="s">
        <v>163</v>
      </c>
      <c r="E266" t="s">
        <v>48</v>
      </c>
      <c r="F266">
        <v>162</v>
      </c>
      <c r="G266">
        <v>81000</v>
      </c>
      <c r="H266">
        <v>32400</v>
      </c>
      <c r="I266" t="s">
        <v>14</v>
      </c>
    </row>
    <row r="267" spans="1:9" x14ac:dyDescent="0.25">
      <c r="A267" t="s">
        <v>488</v>
      </c>
      <c r="B267" t="s">
        <v>199</v>
      </c>
      <c r="C267" t="s">
        <v>185</v>
      </c>
      <c r="D267" t="s">
        <v>163</v>
      </c>
      <c r="E267" t="s">
        <v>60</v>
      </c>
      <c r="F267">
        <v>122</v>
      </c>
      <c r="G267">
        <v>244000</v>
      </c>
      <c r="H267">
        <v>73200</v>
      </c>
      <c r="I267" t="s">
        <v>9</v>
      </c>
    </row>
    <row r="268" spans="1:9" x14ac:dyDescent="0.25">
      <c r="A268" t="s">
        <v>489</v>
      </c>
      <c r="B268" t="s">
        <v>197</v>
      </c>
      <c r="C268" t="s">
        <v>175</v>
      </c>
      <c r="D268" t="s">
        <v>129</v>
      </c>
      <c r="E268" t="s">
        <v>82</v>
      </c>
      <c r="F268">
        <v>107</v>
      </c>
      <c r="G268">
        <v>128400</v>
      </c>
      <c r="H268">
        <v>42800</v>
      </c>
      <c r="I268" t="s">
        <v>30</v>
      </c>
    </row>
    <row r="269" spans="1:9" x14ac:dyDescent="0.25">
      <c r="A269" t="s">
        <v>490</v>
      </c>
      <c r="B269" t="s">
        <v>235</v>
      </c>
      <c r="C269" t="s">
        <v>185</v>
      </c>
      <c r="D269" t="s">
        <v>135</v>
      </c>
      <c r="E269" t="s">
        <v>84</v>
      </c>
      <c r="F269">
        <v>187</v>
      </c>
      <c r="G269">
        <v>374000</v>
      </c>
      <c r="H269">
        <v>112200</v>
      </c>
      <c r="I269" t="s">
        <v>18</v>
      </c>
    </row>
    <row r="270" spans="1:9" x14ac:dyDescent="0.25">
      <c r="A270" t="s">
        <v>491</v>
      </c>
      <c r="B270" t="s">
        <v>226</v>
      </c>
      <c r="C270" t="s">
        <v>181</v>
      </c>
      <c r="D270" t="s">
        <v>132</v>
      </c>
      <c r="E270" t="s">
        <v>25</v>
      </c>
      <c r="F270">
        <v>87</v>
      </c>
      <c r="G270">
        <v>43500</v>
      </c>
      <c r="H270">
        <v>17400</v>
      </c>
      <c r="I270" t="s">
        <v>9</v>
      </c>
    </row>
    <row r="271" spans="1:9" x14ac:dyDescent="0.25">
      <c r="A271" t="s">
        <v>492</v>
      </c>
      <c r="B271" t="s">
        <v>226</v>
      </c>
      <c r="C271" t="s">
        <v>177</v>
      </c>
      <c r="D271" t="s">
        <v>132</v>
      </c>
      <c r="E271" t="s">
        <v>34</v>
      </c>
      <c r="F271">
        <v>75</v>
      </c>
      <c r="G271">
        <v>11250</v>
      </c>
      <c r="H271">
        <v>4500</v>
      </c>
      <c r="I271" t="s">
        <v>14</v>
      </c>
    </row>
    <row r="272" spans="1:9" x14ac:dyDescent="0.25">
      <c r="A272" t="s">
        <v>493</v>
      </c>
      <c r="B272" t="s">
        <v>201</v>
      </c>
      <c r="C272" t="s">
        <v>185</v>
      </c>
      <c r="D272" t="s">
        <v>167</v>
      </c>
      <c r="E272" t="s">
        <v>92</v>
      </c>
      <c r="F272">
        <v>187</v>
      </c>
      <c r="G272">
        <v>374000</v>
      </c>
      <c r="H272">
        <v>112200</v>
      </c>
      <c r="I272" t="s">
        <v>41</v>
      </c>
    </row>
    <row r="273" spans="1:9" x14ac:dyDescent="0.25">
      <c r="A273" t="s">
        <v>494</v>
      </c>
      <c r="B273" t="s">
        <v>242</v>
      </c>
      <c r="C273" t="s">
        <v>181</v>
      </c>
      <c r="D273" t="s">
        <v>169</v>
      </c>
      <c r="E273" t="s">
        <v>88</v>
      </c>
      <c r="F273">
        <v>80</v>
      </c>
      <c r="G273">
        <v>40000</v>
      </c>
      <c r="H273">
        <v>16000</v>
      </c>
      <c r="I273" t="s">
        <v>30</v>
      </c>
    </row>
    <row r="274" spans="1:9" x14ac:dyDescent="0.25">
      <c r="A274" t="s">
        <v>495</v>
      </c>
      <c r="B274" t="s">
        <v>207</v>
      </c>
      <c r="C274" t="s">
        <v>183</v>
      </c>
      <c r="D274" t="s">
        <v>169</v>
      </c>
      <c r="E274" t="s">
        <v>76</v>
      </c>
      <c r="F274">
        <v>30</v>
      </c>
      <c r="G274">
        <v>9000</v>
      </c>
      <c r="H274">
        <v>3600</v>
      </c>
      <c r="I274" t="s">
        <v>30</v>
      </c>
    </row>
    <row r="275" spans="1:9" x14ac:dyDescent="0.25">
      <c r="A275" t="s">
        <v>496</v>
      </c>
      <c r="B275" t="s">
        <v>240</v>
      </c>
      <c r="C275" t="s">
        <v>185</v>
      </c>
      <c r="D275" t="s">
        <v>135</v>
      </c>
      <c r="E275" t="s">
        <v>104</v>
      </c>
      <c r="F275">
        <v>171</v>
      </c>
      <c r="G275">
        <v>342000</v>
      </c>
      <c r="H275">
        <v>102600</v>
      </c>
      <c r="I275" t="s">
        <v>18</v>
      </c>
    </row>
    <row r="276" spans="1:9" x14ac:dyDescent="0.25">
      <c r="A276" t="s">
        <v>497</v>
      </c>
      <c r="B276" t="s">
        <v>240</v>
      </c>
      <c r="C276" t="s">
        <v>183</v>
      </c>
      <c r="D276" t="s">
        <v>142</v>
      </c>
      <c r="E276" t="s">
        <v>76</v>
      </c>
      <c r="F276">
        <v>120</v>
      </c>
      <c r="G276">
        <v>36000</v>
      </c>
      <c r="H276">
        <v>14400</v>
      </c>
      <c r="I276" t="s">
        <v>30</v>
      </c>
    </row>
    <row r="277" spans="1:9" x14ac:dyDescent="0.25">
      <c r="A277" t="s">
        <v>498</v>
      </c>
      <c r="B277" t="s">
        <v>233</v>
      </c>
      <c r="C277" t="s">
        <v>177</v>
      </c>
      <c r="D277" t="s">
        <v>157</v>
      </c>
      <c r="E277" t="s">
        <v>64</v>
      </c>
      <c r="F277">
        <v>121</v>
      </c>
      <c r="G277">
        <v>18150</v>
      </c>
      <c r="H277">
        <v>7260</v>
      </c>
      <c r="I277" t="s">
        <v>30</v>
      </c>
    </row>
    <row r="278" spans="1:9" x14ac:dyDescent="0.25">
      <c r="A278" t="s">
        <v>499</v>
      </c>
      <c r="B278" t="s">
        <v>201</v>
      </c>
      <c r="C278" t="s">
        <v>181</v>
      </c>
      <c r="D278" t="s">
        <v>135</v>
      </c>
      <c r="E278" t="s">
        <v>62</v>
      </c>
      <c r="F278">
        <v>114</v>
      </c>
      <c r="G278">
        <v>57000</v>
      </c>
      <c r="H278">
        <v>22800</v>
      </c>
      <c r="I278" t="s">
        <v>14</v>
      </c>
    </row>
    <row r="279" spans="1:9" x14ac:dyDescent="0.25">
      <c r="A279" t="s">
        <v>500</v>
      </c>
      <c r="B279" t="s">
        <v>269</v>
      </c>
      <c r="C279" t="s">
        <v>185</v>
      </c>
      <c r="D279" t="s">
        <v>147</v>
      </c>
      <c r="E279" t="s">
        <v>68</v>
      </c>
      <c r="F279">
        <v>44</v>
      </c>
      <c r="G279">
        <v>88000</v>
      </c>
      <c r="H279">
        <v>26400</v>
      </c>
      <c r="I279" t="s">
        <v>41</v>
      </c>
    </row>
    <row r="280" spans="1:9" x14ac:dyDescent="0.25">
      <c r="A280" t="s">
        <v>501</v>
      </c>
      <c r="B280" t="s">
        <v>279</v>
      </c>
      <c r="C280" t="s">
        <v>181</v>
      </c>
      <c r="D280" t="s">
        <v>132</v>
      </c>
      <c r="E280" t="s">
        <v>25</v>
      </c>
      <c r="F280">
        <v>26</v>
      </c>
      <c r="G280">
        <v>13000</v>
      </c>
      <c r="H280">
        <v>5200</v>
      </c>
      <c r="I280" t="s">
        <v>9</v>
      </c>
    </row>
    <row r="281" spans="1:9" x14ac:dyDescent="0.25">
      <c r="A281" t="s">
        <v>502</v>
      </c>
      <c r="B281" t="s">
        <v>267</v>
      </c>
      <c r="C281" t="s">
        <v>181</v>
      </c>
      <c r="D281" t="s">
        <v>135</v>
      </c>
      <c r="E281" t="s">
        <v>116</v>
      </c>
      <c r="F281">
        <v>194</v>
      </c>
      <c r="G281">
        <v>97000</v>
      </c>
      <c r="H281">
        <v>38800</v>
      </c>
      <c r="I281" t="s">
        <v>18</v>
      </c>
    </row>
    <row r="282" spans="1:9" x14ac:dyDescent="0.25">
      <c r="A282" t="s">
        <v>503</v>
      </c>
      <c r="B282" t="s">
        <v>219</v>
      </c>
      <c r="C282" t="s">
        <v>177</v>
      </c>
      <c r="D282" t="s">
        <v>165</v>
      </c>
      <c r="E282" t="s">
        <v>19</v>
      </c>
      <c r="F282">
        <v>155</v>
      </c>
      <c r="G282">
        <v>23250</v>
      </c>
      <c r="H282">
        <v>9300</v>
      </c>
      <c r="I282" t="s">
        <v>21</v>
      </c>
    </row>
    <row r="283" spans="1:9" x14ac:dyDescent="0.25">
      <c r="A283" t="s">
        <v>504</v>
      </c>
      <c r="B283" t="s">
        <v>195</v>
      </c>
      <c r="C283" t="s">
        <v>183</v>
      </c>
      <c r="D283" t="s">
        <v>165</v>
      </c>
      <c r="E283" t="s">
        <v>64</v>
      </c>
      <c r="F283">
        <v>176</v>
      </c>
      <c r="G283">
        <v>52800</v>
      </c>
      <c r="H283">
        <v>21120</v>
      </c>
      <c r="I283" t="s">
        <v>30</v>
      </c>
    </row>
    <row r="284" spans="1:9" x14ac:dyDescent="0.25">
      <c r="A284" t="s">
        <v>505</v>
      </c>
      <c r="B284" t="s">
        <v>197</v>
      </c>
      <c r="C284" t="s">
        <v>181</v>
      </c>
      <c r="D284" t="s">
        <v>153</v>
      </c>
      <c r="E284" t="s">
        <v>106</v>
      </c>
      <c r="F284">
        <v>197</v>
      </c>
      <c r="G284">
        <v>98500</v>
      </c>
      <c r="H284">
        <v>39400</v>
      </c>
      <c r="I284" t="s">
        <v>41</v>
      </c>
    </row>
    <row r="285" spans="1:9" x14ac:dyDescent="0.25">
      <c r="A285" t="s">
        <v>506</v>
      </c>
      <c r="B285" t="s">
        <v>283</v>
      </c>
      <c r="C285" t="s">
        <v>185</v>
      </c>
      <c r="D285" t="s">
        <v>129</v>
      </c>
      <c r="E285" t="s">
        <v>58</v>
      </c>
      <c r="F285">
        <v>158</v>
      </c>
      <c r="G285">
        <v>316000</v>
      </c>
      <c r="H285">
        <v>94800</v>
      </c>
      <c r="I285" t="s">
        <v>41</v>
      </c>
    </row>
    <row r="286" spans="1:9" x14ac:dyDescent="0.25">
      <c r="A286" t="s">
        <v>507</v>
      </c>
      <c r="B286" t="s">
        <v>231</v>
      </c>
      <c r="C286" t="s">
        <v>179</v>
      </c>
      <c r="D286" t="s">
        <v>135</v>
      </c>
      <c r="E286" t="s">
        <v>94</v>
      </c>
      <c r="F286">
        <v>134</v>
      </c>
      <c r="G286">
        <v>2680</v>
      </c>
      <c r="H286">
        <v>1072</v>
      </c>
      <c r="I286" t="s">
        <v>9</v>
      </c>
    </row>
    <row r="287" spans="1:9" x14ac:dyDescent="0.25">
      <c r="A287" t="s">
        <v>508</v>
      </c>
      <c r="B287" t="s">
        <v>267</v>
      </c>
      <c r="C287" t="s">
        <v>177</v>
      </c>
      <c r="D287" t="s">
        <v>161</v>
      </c>
      <c r="E287" t="s">
        <v>48</v>
      </c>
      <c r="F287">
        <v>32</v>
      </c>
      <c r="G287">
        <v>4800</v>
      </c>
      <c r="H287">
        <v>1920</v>
      </c>
      <c r="I287" t="s">
        <v>14</v>
      </c>
    </row>
    <row r="288" spans="1:9" x14ac:dyDescent="0.25">
      <c r="A288" t="s">
        <v>509</v>
      </c>
      <c r="B288" t="s">
        <v>205</v>
      </c>
      <c r="C288" t="s">
        <v>183</v>
      </c>
      <c r="D288" t="s">
        <v>153</v>
      </c>
      <c r="E288" t="s">
        <v>31</v>
      </c>
      <c r="F288">
        <v>200</v>
      </c>
      <c r="G288">
        <v>60000</v>
      </c>
      <c r="H288">
        <v>24000</v>
      </c>
      <c r="I288" t="s">
        <v>14</v>
      </c>
    </row>
    <row r="289" spans="1:9" x14ac:dyDescent="0.25">
      <c r="A289" t="s">
        <v>510</v>
      </c>
      <c r="B289" t="s">
        <v>253</v>
      </c>
      <c r="C289" t="s">
        <v>183</v>
      </c>
      <c r="D289" t="s">
        <v>145</v>
      </c>
      <c r="E289" t="s">
        <v>76</v>
      </c>
      <c r="F289">
        <v>148</v>
      </c>
      <c r="G289">
        <v>44400</v>
      </c>
      <c r="H289">
        <v>17760</v>
      </c>
      <c r="I289" t="s">
        <v>30</v>
      </c>
    </row>
    <row r="290" spans="1:9" x14ac:dyDescent="0.25">
      <c r="A290" t="s">
        <v>511</v>
      </c>
      <c r="B290" t="s">
        <v>203</v>
      </c>
      <c r="C290" t="s">
        <v>183</v>
      </c>
      <c r="D290" t="s">
        <v>169</v>
      </c>
      <c r="E290" t="s">
        <v>108</v>
      </c>
      <c r="F290">
        <v>169</v>
      </c>
      <c r="G290">
        <v>50700</v>
      </c>
      <c r="H290">
        <v>20280</v>
      </c>
      <c r="I290" t="s">
        <v>21</v>
      </c>
    </row>
    <row r="291" spans="1:9" x14ac:dyDescent="0.25">
      <c r="A291" t="s">
        <v>512</v>
      </c>
      <c r="B291" t="s">
        <v>205</v>
      </c>
      <c r="C291" t="s">
        <v>175</v>
      </c>
      <c r="D291" t="s">
        <v>169</v>
      </c>
      <c r="E291" t="s">
        <v>106</v>
      </c>
      <c r="F291">
        <v>182</v>
      </c>
      <c r="G291">
        <v>218400</v>
      </c>
      <c r="H291">
        <v>72800</v>
      </c>
      <c r="I291" t="s">
        <v>41</v>
      </c>
    </row>
    <row r="292" spans="1:9" x14ac:dyDescent="0.25">
      <c r="A292" t="s">
        <v>513</v>
      </c>
      <c r="B292" t="s">
        <v>253</v>
      </c>
      <c r="C292" t="s">
        <v>175</v>
      </c>
      <c r="D292" t="s">
        <v>140</v>
      </c>
      <c r="E292" t="s">
        <v>55</v>
      </c>
      <c r="F292">
        <v>184</v>
      </c>
      <c r="G292">
        <v>220800</v>
      </c>
      <c r="H292">
        <v>73600</v>
      </c>
      <c r="I292" t="s">
        <v>9</v>
      </c>
    </row>
    <row r="293" spans="1:9" x14ac:dyDescent="0.25">
      <c r="A293" t="s">
        <v>514</v>
      </c>
      <c r="B293" t="s">
        <v>210</v>
      </c>
      <c r="C293" t="s">
        <v>179</v>
      </c>
      <c r="D293" t="s">
        <v>151</v>
      </c>
      <c r="E293" t="s">
        <v>66</v>
      </c>
      <c r="F293">
        <v>6</v>
      </c>
      <c r="G293">
        <v>120</v>
      </c>
      <c r="H293">
        <v>48</v>
      </c>
      <c r="I293" t="s">
        <v>9</v>
      </c>
    </row>
    <row r="294" spans="1:9" x14ac:dyDescent="0.25">
      <c r="A294" t="s">
        <v>515</v>
      </c>
      <c r="B294" t="s">
        <v>279</v>
      </c>
      <c r="C294" t="s">
        <v>177</v>
      </c>
      <c r="D294" t="s">
        <v>167</v>
      </c>
      <c r="E294" t="s">
        <v>106</v>
      </c>
      <c r="F294">
        <v>107</v>
      </c>
      <c r="G294">
        <v>16050</v>
      </c>
      <c r="H294">
        <v>6420</v>
      </c>
      <c r="I294" t="s">
        <v>41</v>
      </c>
    </row>
    <row r="295" spans="1:9" x14ac:dyDescent="0.25">
      <c r="A295" t="s">
        <v>516</v>
      </c>
      <c r="B295" t="s">
        <v>238</v>
      </c>
      <c r="C295" t="s">
        <v>177</v>
      </c>
      <c r="D295" t="s">
        <v>126</v>
      </c>
      <c r="E295" t="s">
        <v>25</v>
      </c>
      <c r="F295">
        <v>196</v>
      </c>
      <c r="G295">
        <v>29400</v>
      </c>
      <c r="H295">
        <v>11760</v>
      </c>
      <c r="I295" t="s">
        <v>9</v>
      </c>
    </row>
    <row r="296" spans="1:9" x14ac:dyDescent="0.25">
      <c r="A296" t="s">
        <v>517</v>
      </c>
      <c r="B296" t="s">
        <v>201</v>
      </c>
      <c r="C296" t="s">
        <v>177</v>
      </c>
      <c r="D296" t="s">
        <v>155</v>
      </c>
      <c r="E296" t="s">
        <v>74</v>
      </c>
      <c r="F296">
        <v>121</v>
      </c>
      <c r="G296">
        <v>18150</v>
      </c>
      <c r="H296">
        <v>7260</v>
      </c>
      <c r="I296" t="s">
        <v>9</v>
      </c>
    </row>
    <row r="297" spans="1:9" x14ac:dyDescent="0.25">
      <c r="A297" t="s">
        <v>518</v>
      </c>
      <c r="B297" t="s">
        <v>201</v>
      </c>
      <c r="C297" t="s">
        <v>177</v>
      </c>
      <c r="D297" t="s">
        <v>153</v>
      </c>
      <c r="E297" t="s">
        <v>60</v>
      </c>
      <c r="F297">
        <v>189</v>
      </c>
      <c r="G297">
        <v>28350</v>
      </c>
      <c r="H297">
        <v>11340</v>
      </c>
      <c r="I297" t="s">
        <v>9</v>
      </c>
    </row>
    <row r="298" spans="1:9" x14ac:dyDescent="0.25">
      <c r="A298" t="s">
        <v>519</v>
      </c>
      <c r="B298" t="s">
        <v>293</v>
      </c>
      <c r="C298" t="s">
        <v>183</v>
      </c>
      <c r="D298" t="s">
        <v>169</v>
      </c>
      <c r="E298" t="s">
        <v>25</v>
      </c>
      <c r="F298">
        <v>18</v>
      </c>
      <c r="G298">
        <v>5400</v>
      </c>
      <c r="H298">
        <v>2160</v>
      </c>
      <c r="I298" t="s">
        <v>9</v>
      </c>
    </row>
    <row r="299" spans="1:9" x14ac:dyDescent="0.25">
      <c r="A299" t="s">
        <v>520</v>
      </c>
      <c r="B299" t="s">
        <v>279</v>
      </c>
      <c r="C299" t="s">
        <v>177</v>
      </c>
      <c r="D299" t="s">
        <v>169</v>
      </c>
      <c r="E299" t="s">
        <v>19</v>
      </c>
      <c r="F299">
        <v>177</v>
      </c>
      <c r="G299">
        <v>26550</v>
      </c>
      <c r="H299">
        <v>10620</v>
      </c>
      <c r="I299" t="s">
        <v>21</v>
      </c>
    </row>
    <row r="300" spans="1:9" x14ac:dyDescent="0.25">
      <c r="A300" t="s">
        <v>521</v>
      </c>
      <c r="B300" t="s">
        <v>217</v>
      </c>
      <c r="C300" t="s">
        <v>179</v>
      </c>
      <c r="D300" t="s">
        <v>159</v>
      </c>
      <c r="E300" t="s">
        <v>106</v>
      </c>
      <c r="F300">
        <v>113</v>
      </c>
      <c r="G300">
        <v>2260</v>
      </c>
      <c r="H300">
        <v>904</v>
      </c>
      <c r="I300" t="s">
        <v>41</v>
      </c>
    </row>
    <row r="301" spans="1:9" x14ac:dyDescent="0.25">
      <c r="A301" t="s">
        <v>522</v>
      </c>
      <c r="B301" t="s">
        <v>231</v>
      </c>
      <c r="C301" t="s">
        <v>183</v>
      </c>
      <c r="D301" t="s">
        <v>159</v>
      </c>
      <c r="E301" t="s">
        <v>74</v>
      </c>
      <c r="F301">
        <v>74</v>
      </c>
      <c r="G301">
        <v>22200</v>
      </c>
      <c r="H301">
        <v>8880</v>
      </c>
      <c r="I301" t="s">
        <v>9</v>
      </c>
    </row>
    <row r="302" spans="1:9" x14ac:dyDescent="0.25">
      <c r="A302" t="s">
        <v>523</v>
      </c>
      <c r="B302" t="s">
        <v>195</v>
      </c>
      <c r="C302" t="s">
        <v>183</v>
      </c>
      <c r="D302" t="s">
        <v>135</v>
      </c>
      <c r="E302" t="s">
        <v>66</v>
      </c>
      <c r="F302">
        <v>115</v>
      </c>
      <c r="G302">
        <v>34500</v>
      </c>
      <c r="H302">
        <v>13800</v>
      </c>
      <c r="I302" t="s">
        <v>9</v>
      </c>
    </row>
    <row r="303" spans="1:9" x14ac:dyDescent="0.25">
      <c r="A303" t="s">
        <v>524</v>
      </c>
      <c r="B303" t="s">
        <v>269</v>
      </c>
      <c r="C303" t="s">
        <v>179</v>
      </c>
      <c r="D303" t="s">
        <v>167</v>
      </c>
      <c r="E303" t="s">
        <v>84</v>
      </c>
      <c r="F303">
        <v>139</v>
      </c>
      <c r="G303">
        <v>2780</v>
      </c>
      <c r="H303">
        <v>1112</v>
      </c>
      <c r="I303" t="s">
        <v>18</v>
      </c>
    </row>
    <row r="304" spans="1:9" x14ac:dyDescent="0.25">
      <c r="A304" t="s">
        <v>525</v>
      </c>
      <c r="B304" t="s">
        <v>226</v>
      </c>
      <c r="C304" t="s">
        <v>179</v>
      </c>
      <c r="D304" t="s">
        <v>129</v>
      </c>
      <c r="E304" t="s">
        <v>48</v>
      </c>
      <c r="F304">
        <v>106</v>
      </c>
      <c r="G304">
        <v>2120</v>
      </c>
      <c r="H304">
        <v>848</v>
      </c>
      <c r="I304" t="s">
        <v>14</v>
      </c>
    </row>
    <row r="305" spans="1:9" x14ac:dyDescent="0.25">
      <c r="A305" t="s">
        <v>526</v>
      </c>
      <c r="B305" t="s">
        <v>219</v>
      </c>
      <c r="C305" t="s">
        <v>175</v>
      </c>
      <c r="D305" t="s">
        <v>126</v>
      </c>
      <c r="E305" t="s">
        <v>46</v>
      </c>
      <c r="F305">
        <v>82</v>
      </c>
      <c r="G305">
        <v>98400</v>
      </c>
      <c r="H305">
        <v>32800</v>
      </c>
      <c r="I305" t="s">
        <v>9</v>
      </c>
    </row>
    <row r="306" spans="1:9" x14ac:dyDescent="0.25">
      <c r="A306" t="s">
        <v>527</v>
      </c>
      <c r="B306" t="s">
        <v>283</v>
      </c>
      <c r="C306" t="s">
        <v>177</v>
      </c>
      <c r="D306" t="s">
        <v>138</v>
      </c>
      <c r="E306" t="s">
        <v>118</v>
      </c>
      <c r="F306">
        <v>70</v>
      </c>
      <c r="G306">
        <v>10500</v>
      </c>
      <c r="H306">
        <v>4200</v>
      </c>
      <c r="I306" t="s">
        <v>30</v>
      </c>
    </row>
    <row r="307" spans="1:9" x14ac:dyDescent="0.25">
      <c r="A307" t="s">
        <v>528</v>
      </c>
      <c r="B307" t="s">
        <v>246</v>
      </c>
      <c r="C307" t="s">
        <v>179</v>
      </c>
      <c r="D307" t="s">
        <v>135</v>
      </c>
      <c r="E307" t="s">
        <v>5</v>
      </c>
      <c r="F307">
        <v>132</v>
      </c>
      <c r="G307">
        <v>2640</v>
      </c>
      <c r="H307">
        <v>1056</v>
      </c>
      <c r="I307" t="s">
        <v>9</v>
      </c>
    </row>
    <row r="308" spans="1:9" x14ac:dyDescent="0.25">
      <c r="A308" t="s">
        <v>529</v>
      </c>
      <c r="B308" t="s">
        <v>203</v>
      </c>
      <c r="C308" t="s">
        <v>181</v>
      </c>
      <c r="D308" t="s">
        <v>140</v>
      </c>
      <c r="E308" t="s">
        <v>34</v>
      </c>
      <c r="F308">
        <v>102</v>
      </c>
      <c r="G308">
        <v>51000</v>
      </c>
      <c r="H308">
        <v>20400</v>
      </c>
      <c r="I308" t="s">
        <v>14</v>
      </c>
    </row>
    <row r="309" spans="1:9" x14ac:dyDescent="0.25">
      <c r="A309" t="s">
        <v>530</v>
      </c>
      <c r="B309" t="s">
        <v>251</v>
      </c>
      <c r="C309" t="s">
        <v>185</v>
      </c>
      <c r="D309" t="s">
        <v>145</v>
      </c>
      <c r="E309" t="s">
        <v>86</v>
      </c>
      <c r="F309">
        <v>148</v>
      </c>
      <c r="G309">
        <v>296000</v>
      </c>
      <c r="H309">
        <v>88800</v>
      </c>
      <c r="I309" t="s">
        <v>21</v>
      </c>
    </row>
    <row r="310" spans="1:9" x14ac:dyDescent="0.25">
      <c r="A310" t="s">
        <v>531</v>
      </c>
      <c r="B310" t="s">
        <v>212</v>
      </c>
      <c r="C310" t="s">
        <v>185</v>
      </c>
      <c r="D310" t="s">
        <v>153</v>
      </c>
      <c r="E310" t="s">
        <v>22</v>
      </c>
      <c r="F310">
        <v>106</v>
      </c>
      <c r="G310">
        <v>212000</v>
      </c>
      <c r="H310">
        <v>63600</v>
      </c>
      <c r="I310" t="s">
        <v>18</v>
      </c>
    </row>
    <row r="311" spans="1:9" x14ac:dyDescent="0.25">
      <c r="A311" t="s">
        <v>532</v>
      </c>
      <c r="B311" t="s">
        <v>242</v>
      </c>
      <c r="C311" t="s">
        <v>185</v>
      </c>
      <c r="D311" t="s">
        <v>129</v>
      </c>
      <c r="E311" t="s">
        <v>76</v>
      </c>
      <c r="F311">
        <v>9</v>
      </c>
      <c r="G311">
        <v>18000</v>
      </c>
      <c r="H311">
        <v>5400</v>
      </c>
      <c r="I311" t="s">
        <v>30</v>
      </c>
    </row>
    <row r="312" spans="1:9" x14ac:dyDescent="0.25">
      <c r="A312" t="s">
        <v>533</v>
      </c>
      <c r="B312" t="s">
        <v>223</v>
      </c>
      <c r="C312" t="s">
        <v>175</v>
      </c>
      <c r="D312" t="s">
        <v>151</v>
      </c>
      <c r="E312" t="s">
        <v>94</v>
      </c>
      <c r="F312">
        <v>114</v>
      </c>
      <c r="G312">
        <v>136800</v>
      </c>
      <c r="H312">
        <v>45600</v>
      </c>
      <c r="I312" t="s">
        <v>9</v>
      </c>
    </row>
    <row r="313" spans="1:9" x14ac:dyDescent="0.25">
      <c r="A313" t="s">
        <v>534</v>
      </c>
      <c r="B313" t="s">
        <v>233</v>
      </c>
      <c r="C313" t="s">
        <v>181</v>
      </c>
      <c r="D313" t="s">
        <v>157</v>
      </c>
      <c r="E313" t="s">
        <v>58</v>
      </c>
      <c r="F313">
        <v>34</v>
      </c>
      <c r="G313">
        <v>17000</v>
      </c>
      <c r="H313">
        <v>6800</v>
      </c>
      <c r="I313" t="s">
        <v>41</v>
      </c>
    </row>
    <row r="314" spans="1:9" x14ac:dyDescent="0.25">
      <c r="A314" t="s">
        <v>535</v>
      </c>
      <c r="B314" t="s">
        <v>242</v>
      </c>
      <c r="C314" t="s">
        <v>175</v>
      </c>
      <c r="D314" t="s">
        <v>151</v>
      </c>
      <c r="E314" t="s">
        <v>39</v>
      </c>
      <c r="F314">
        <v>163</v>
      </c>
      <c r="G314">
        <v>195600</v>
      </c>
      <c r="H314">
        <v>65200</v>
      </c>
      <c r="I314" t="s">
        <v>41</v>
      </c>
    </row>
    <row r="315" spans="1:9" x14ac:dyDescent="0.25">
      <c r="A315" t="s">
        <v>536</v>
      </c>
      <c r="B315" t="s">
        <v>212</v>
      </c>
      <c r="C315" t="s">
        <v>185</v>
      </c>
      <c r="D315" t="s">
        <v>153</v>
      </c>
      <c r="E315" t="s">
        <v>25</v>
      </c>
      <c r="F315">
        <v>116</v>
      </c>
      <c r="G315">
        <v>232000</v>
      </c>
      <c r="H315">
        <v>69600</v>
      </c>
      <c r="I315" t="s">
        <v>9</v>
      </c>
    </row>
    <row r="316" spans="1:9" x14ac:dyDescent="0.25">
      <c r="A316" t="s">
        <v>537</v>
      </c>
      <c r="B316" t="s">
        <v>233</v>
      </c>
      <c r="C316" t="s">
        <v>175</v>
      </c>
      <c r="D316" t="s">
        <v>145</v>
      </c>
      <c r="E316" t="s">
        <v>76</v>
      </c>
      <c r="F316">
        <v>155</v>
      </c>
      <c r="G316">
        <v>186000</v>
      </c>
      <c r="H316">
        <v>62000</v>
      </c>
      <c r="I316" t="s">
        <v>30</v>
      </c>
    </row>
    <row r="317" spans="1:9" x14ac:dyDescent="0.25">
      <c r="A317" t="s">
        <v>538</v>
      </c>
      <c r="B317" t="s">
        <v>246</v>
      </c>
      <c r="C317" t="s">
        <v>183</v>
      </c>
      <c r="D317" t="s">
        <v>132</v>
      </c>
      <c r="E317" t="s">
        <v>72</v>
      </c>
      <c r="F317">
        <v>84</v>
      </c>
      <c r="G317">
        <v>25200</v>
      </c>
      <c r="H317">
        <v>10080</v>
      </c>
      <c r="I317" t="s">
        <v>14</v>
      </c>
    </row>
    <row r="318" spans="1:9" x14ac:dyDescent="0.25">
      <c r="A318" t="s">
        <v>539</v>
      </c>
      <c r="B318" t="s">
        <v>279</v>
      </c>
      <c r="C318" t="s">
        <v>179</v>
      </c>
      <c r="D318" t="s">
        <v>145</v>
      </c>
      <c r="E318" t="s">
        <v>64</v>
      </c>
      <c r="F318">
        <v>48</v>
      </c>
      <c r="G318">
        <v>960</v>
      </c>
      <c r="H318">
        <v>384</v>
      </c>
      <c r="I318" t="s">
        <v>30</v>
      </c>
    </row>
    <row r="319" spans="1:9" x14ac:dyDescent="0.25">
      <c r="A319" t="s">
        <v>540</v>
      </c>
      <c r="B319" t="s">
        <v>231</v>
      </c>
      <c r="C319" t="s">
        <v>183</v>
      </c>
      <c r="D319" t="s">
        <v>135</v>
      </c>
      <c r="E319" t="s">
        <v>88</v>
      </c>
      <c r="F319">
        <v>135</v>
      </c>
      <c r="G319">
        <v>40500</v>
      </c>
      <c r="H319">
        <v>16200</v>
      </c>
      <c r="I319" t="s">
        <v>30</v>
      </c>
    </row>
    <row r="320" spans="1:9" x14ac:dyDescent="0.25">
      <c r="A320" t="s">
        <v>541</v>
      </c>
      <c r="B320" t="s">
        <v>251</v>
      </c>
      <c r="C320" t="s">
        <v>179</v>
      </c>
      <c r="D320" t="s">
        <v>153</v>
      </c>
      <c r="E320" t="s">
        <v>114</v>
      </c>
      <c r="F320">
        <v>170</v>
      </c>
      <c r="G320">
        <v>3400</v>
      </c>
      <c r="H320">
        <v>1360</v>
      </c>
      <c r="I320" t="s">
        <v>21</v>
      </c>
    </row>
    <row r="321" spans="1:9" x14ac:dyDescent="0.25">
      <c r="A321" t="s">
        <v>542</v>
      </c>
      <c r="B321" t="s">
        <v>205</v>
      </c>
      <c r="C321" t="s">
        <v>177</v>
      </c>
      <c r="D321" t="s">
        <v>145</v>
      </c>
      <c r="E321" t="s">
        <v>27</v>
      </c>
      <c r="F321">
        <v>42</v>
      </c>
      <c r="G321">
        <v>6300</v>
      </c>
      <c r="H321">
        <v>2520</v>
      </c>
      <c r="I321" t="s">
        <v>30</v>
      </c>
    </row>
    <row r="322" spans="1:9" x14ac:dyDescent="0.25">
      <c r="A322" t="s">
        <v>543</v>
      </c>
      <c r="B322" t="s">
        <v>253</v>
      </c>
      <c r="C322" t="s">
        <v>177</v>
      </c>
      <c r="D322" t="s">
        <v>140</v>
      </c>
      <c r="E322" t="s">
        <v>98</v>
      </c>
      <c r="F322">
        <v>44</v>
      </c>
      <c r="G322">
        <v>6600</v>
      </c>
      <c r="H322">
        <v>2640</v>
      </c>
      <c r="I322" t="s">
        <v>30</v>
      </c>
    </row>
    <row r="323" spans="1:9" x14ac:dyDescent="0.25">
      <c r="A323" t="s">
        <v>544</v>
      </c>
      <c r="B323" t="s">
        <v>217</v>
      </c>
      <c r="C323" t="s">
        <v>185</v>
      </c>
      <c r="D323" t="s">
        <v>132</v>
      </c>
      <c r="E323" t="s">
        <v>42</v>
      </c>
      <c r="F323">
        <v>165</v>
      </c>
      <c r="G323">
        <v>330000</v>
      </c>
      <c r="H323">
        <v>99000</v>
      </c>
      <c r="I323" t="s">
        <v>9</v>
      </c>
    </row>
    <row r="324" spans="1:9" x14ac:dyDescent="0.25">
      <c r="A324" t="s">
        <v>545</v>
      </c>
      <c r="B324" t="s">
        <v>242</v>
      </c>
      <c r="C324" t="s">
        <v>181</v>
      </c>
      <c r="D324" t="s">
        <v>167</v>
      </c>
      <c r="E324" t="s">
        <v>118</v>
      </c>
      <c r="F324">
        <v>153</v>
      </c>
      <c r="G324">
        <v>76500</v>
      </c>
      <c r="H324">
        <v>30600</v>
      </c>
      <c r="I324" t="s">
        <v>30</v>
      </c>
    </row>
    <row r="325" spans="1:9" x14ac:dyDescent="0.25">
      <c r="A325" t="s">
        <v>546</v>
      </c>
      <c r="B325" t="s">
        <v>226</v>
      </c>
      <c r="C325" t="s">
        <v>185</v>
      </c>
      <c r="D325" t="s">
        <v>167</v>
      </c>
      <c r="E325" t="s">
        <v>104</v>
      </c>
      <c r="F325">
        <v>167</v>
      </c>
      <c r="G325">
        <v>334000</v>
      </c>
      <c r="H325">
        <v>100200</v>
      </c>
      <c r="I325" t="s">
        <v>18</v>
      </c>
    </row>
    <row r="326" spans="1:9" x14ac:dyDescent="0.25">
      <c r="A326" t="s">
        <v>547</v>
      </c>
      <c r="B326" t="s">
        <v>279</v>
      </c>
      <c r="C326" t="s">
        <v>179</v>
      </c>
      <c r="D326" t="s">
        <v>151</v>
      </c>
      <c r="E326" t="s">
        <v>37</v>
      </c>
      <c r="F326">
        <v>117</v>
      </c>
      <c r="G326">
        <v>2340</v>
      </c>
      <c r="H326">
        <v>936</v>
      </c>
      <c r="I326" t="s">
        <v>21</v>
      </c>
    </row>
    <row r="327" spans="1:9" x14ac:dyDescent="0.25">
      <c r="A327" t="s">
        <v>548</v>
      </c>
      <c r="B327" t="s">
        <v>207</v>
      </c>
      <c r="C327" t="s">
        <v>181</v>
      </c>
      <c r="D327" t="s">
        <v>159</v>
      </c>
      <c r="E327" t="s">
        <v>102</v>
      </c>
      <c r="F327">
        <v>82</v>
      </c>
      <c r="G327">
        <v>41000</v>
      </c>
      <c r="H327">
        <v>16400</v>
      </c>
      <c r="I327" t="s">
        <v>18</v>
      </c>
    </row>
    <row r="328" spans="1:9" x14ac:dyDescent="0.25">
      <c r="A328" t="s">
        <v>549</v>
      </c>
      <c r="B328" t="s">
        <v>238</v>
      </c>
      <c r="C328" t="s">
        <v>179</v>
      </c>
      <c r="D328" t="s">
        <v>167</v>
      </c>
      <c r="E328" t="s">
        <v>19</v>
      </c>
      <c r="F328">
        <v>95</v>
      </c>
      <c r="G328">
        <v>1900</v>
      </c>
      <c r="H328">
        <v>760</v>
      </c>
      <c r="I328" t="s">
        <v>21</v>
      </c>
    </row>
    <row r="329" spans="1:9" x14ac:dyDescent="0.25">
      <c r="A329" t="s">
        <v>550</v>
      </c>
      <c r="B329" t="s">
        <v>221</v>
      </c>
      <c r="C329" t="s">
        <v>175</v>
      </c>
      <c r="D329" t="s">
        <v>149</v>
      </c>
      <c r="E329" t="s">
        <v>80</v>
      </c>
      <c r="F329">
        <v>120</v>
      </c>
      <c r="G329">
        <v>144000</v>
      </c>
      <c r="H329">
        <v>48000</v>
      </c>
      <c r="I329" t="s">
        <v>9</v>
      </c>
    </row>
    <row r="330" spans="1:9" x14ac:dyDescent="0.25">
      <c r="A330" t="s">
        <v>551</v>
      </c>
      <c r="B330" t="s">
        <v>199</v>
      </c>
      <c r="C330" t="s">
        <v>175</v>
      </c>
      <c r="D330" t="s">
        <v>153</v>
      </c>
      <c r="E330" t="s">
        <v>58</v>
      </c>
      <c r="F330">
        <v>24</v>
      </c>
      <c r="G330">
        <v>28800</v>
      </c>
      <c r="H330">
        <v>9600</v>
      </c>
      <c r="I330" t="s">
        <v>41</v>
      </c>
    </row>
    <row r="331" spans="1:9" x14ac:dyDescent="0.25">
      <c r="A331" t="s">
        <v>552</v>
      </c>
      <c r="B331" t="s">
        <v>233</v>
      </c>
      <c r="C331" t="s">
        <v>175</v>
      </c>
      <c r="D331" t="s">
        <v>169</v>
      </c>
      <c r="E331" t="s">
        <v>98</v>
      </c>
      <c r="F331">
        <v>134</v>
      </c>
      <c r="G331">
        <v>160800</v>
      </c>
      <c r="H331">
        <v>53600</v>
      </c>
      <c r="I331" t="s">
        <v>30</v>
      </c>
    </row>
    <row r="332" spans="1:9" x14ac:dyDescent="0.25">
      <c r="A332" t="s">
        <v>553</v>
      </c>
      <c r="B332" t="s">
        <v>240</v>
      </c>
      <c r="C332" t="s">
        <v>181</v>
      </c>
      <c r="D332" t="s">
        <v>167</v>
      </c>
      <c r="E332" t="s">
        <v>92</v>
      </c>
      <c r="F332">
        <v>194</v>
      </c>
      <c r="G332">
        <v>97000</v>
      </c>
      <c r="H332">
        <v>38800</v>
      </c>
      <c r="I332" t="s">
        <v>41</v>
      </c>
    </row>
    <row r="333" spans="1:9" x14ac:dyDescent="0.25">
      <c r="A333" t="s">
        <v>554</v>
      </c>
      <c r="B333" t="s">
        <v>231</v>
      </c>
      <c r="C333" t="s">
        <v>175</v>
      </c>
      <c r="D333" t="s">
        <v>159</v>
      </c>
      <c r="E333" t="s">
        <v>94</v>
      </c>
      <c r="F333">
        <v>171</v>
      </c>
      <c r="G333">
        <v>205200</v>
      </c>
      <c r="H333">
        <v>68400</v>
      </c>
      <c r="I333" t="s">
        <v>9</v>
      </c>
    </row>
    <row r="334" spans="1:9" x14ac:dyDescent="0.25">
      <c r="A334" t="s">
        <v>555</v>
      </c>
      <c r="B334" t="s">
        <v>293</v>
      </c>
      <c r="C334" t="s">
        <v>179</v>
      </c>
      <c r="D334" t="s">
        <v>169</v>
      </c>
      <c r="E334" t="s">
        <v>82</v>
      </c>
      <c r="F334">
        <v>133</v>
      </c>
      <c r="G334">
        <v>2660</v>
      </c>
      <c r="H334">
        <v>1064</v>
      </c>
      <c r="I334" t="s">
        <v>30</v>
      </c>
    </row>
    <row r="335" spans="1:9" x14ac:dyDescent="0.25">
      <c r="A335" t="s">
        <v>556</v>
      </c>
      <c r="B335" t="s">
        <v>310</v>
      </c>
      <c r="C335" t="s">
        <v>175</v>
      </c>
      <c r="D335" t="s">
        <v>159</v>
      </c>
      <c r="E335" t="s">
        <v>27</v>
      </c>
      <c r="F335">
        <v>92</v>
      </c>
      <c r="G335">
        <v>110400</v>
      </c>
      <c r="H335">
        <v>36800</v>
      </c>
      <c r="I335" t="s">
        <v>30</v>
      </c>
    </row>
    <row r="336" spans="1:9" x14ac:dyDescent="0.25">
      <c r="A336" t="s">
        <v>557</v>
      </c>
      <c r="B336" t="s">
        <v>221</v>
      </c>
      <c r="C336" t="s">
        <v>175</v>
      </c>
      <c r="D336" t="s">
        <v>163</v>
      </c>
      <c r="E336" t="s">
        <v>104</v>
      </c>
      <c r="F336">
        <v>49</v>
      </c>
      <c r="G336">
        <v>58800</v>
      </c>
      <c r="H336">
        <v>19600</v>
      </c>
      <c r="I336" t="s">
        <v>18</v>
      </c>
    </row>
    <row r="337" spans="1:9" x14ac:dyDescent="0.25">
      <c r="A337" t="s">
        <v>558</v>
      </c>
      <c r="B337" t="s">
        <v>238</v>
      </c>
      <c r="C337" t="s">
        <v>177</v>
      </c>
      <c r="D337" t="s">
        <v>159</v>
      </c>
      <c r="E337" t="s">
        <v>78</v>
      </c>
      <c r="F337">
        <v>139</v>
      </c>
      <c r="G337">
        <v>20850</v>
      </c>
      <c r="H337">
        <v>8340</v>
      </c>
      <c r="I337" t="s">
        <v>14</v>
      </c>
    </row>
    <row r="338" spans="1:9" x14ac:dyDescent="0.25">
      <c r="A338" t="s">
        <v>559</v>
      </c>
      <c r="B338" t="s">
        <v>235</v>
      </c>
      <c r="C338" t="s">
        <v>183</v>
      </c>
      <c r="D338" t="s">
        <v>140</v>
      </c>
      <c r="E338" t="s">
        <v>68</v>
      </c>
      <c r="F338">
        <v>100</v>
      </c>
      <c r="G338">
        <v>30000</v>
      </c>
      <c r="H338">
        <v>12000</v>
      </c>
      <c r="I338" t="s">
        <v>41</v>
      </c>
    </row>
    <row r="339" spans="1:9" x14ac:dyDescent="0.25">
      <c r="A339" t="s">
        <v>560</v>
      </c>
      <c r="B339" t="s">
        <v>269</v>
      </c>
      <c r="C339" t="s">
        <v>179</v>
      </c>
      <c r="D339" t="s">
        <v>155</v>
      </c>
      <c r="E339" t="s">
        <v>74</v>
      </c>
      <c r="F339">
        <v>91</v>
      </c>
      <c r="G339">
        <v>1820</v>
      </c>
      <c r="H339">
        <v>728</v>
      </c>
      <c r="I339" t="s">
        <v>9</v>
      </c>
    </row>
    <row r="340" spans="1:9" x14ac:dyDescent="0.25">
      <c r="A340" t="s">
        <v>561</v>
      </c>
      <c r="B340" t="s">
        <v>201</v>
      </c>
      <c r="C340" t="s">
        <v>183</v>
      </c>
      <c r="D340" t="s">
        <v>129</v>
      </c>
      <c r="E340" t="s">
        <v>102</v>
      </c>
      <c r="F340">
        <v>170</v>
      </c>
      <c r="G340">
        <v>51000</v>
      </c>
      <c r="H340">
        <v>20400</v>
      </c>
      <c r="I340" t="s">
        <v>18</v>
      </c>
    </row>
    <row r="341" spans="1:9" x14ac:dyDescent="0.25">
      <c r="A341" t="s">
        <v>562</v>
      </c>
      <c r="B341" t="s">
        <v>269</v>
      </c>
      <c r="C341" t="s">
        <v>175</v>
      </c>
      <c r="D341" t="s">
        <v>151</v>
      </c>
      <c r="E341" t="s">
        <v>27</v>
      </c>
      <c r="F341">
        <v>147</v>
      </c>
      <c r="G341">
        <v>176400</v>
      </c>
      <c r="H341">
        <v>58800</v>
      </c>
      <c r="I341" t="s">
        <v>30</v>
      </c>
    </row>
    <row r="342" spans="1:9" x14ac:dyDescent="0.25">
      <c r="A342" t="s">
        <v>563</v>
      </c>
      <c r="B342" t="s">
        <v>212</v>
      </c>
      <c r="C342" t="s">
        <v>181</v>
      </c>
      <c r="D342" t="s">
        <v>149</v>
      </c>
      <c r="E342" t="s">
        <v>53</v>
      </c>
      <c r="F342">
        <v>190</v>
      </c>
      <c r="G342">
        <v>95000</v>
      </c>
      <c r="H342">
        <v>38000</v>
      </c>
      <c r="I342" t="s">
        <v>21</v>
      </c>
    </row>
    <row r="343" spans="1:9" x14ac:dyDescent="0.25">
      <c r="A343" t="s">
        <v>564</v>
      </c>
      <c r="B343" t="s">
        <v>279</v>
      </c>
      <c r="C343" t="s">
        <v>185</v>
      </c>
      <c r="D343" t="s">
        <v>169</v>
      </c>
      <c r="E343" t="s">
        <v>37</v>
      </c>
      <c r="F343">
        <v>90</v>
      </c>
      <c r="G343">
        <v>180000</v>
      </c>
      <c r="H343">
        <v>54000</v>
      </c>
      <c r="I343" t="s">
        <v>21</v>
      </c>
    </row>
    <row r="344" spans="1:9" x14ac:dyDescent="0.25">
      <c r="A344" t="s">
        <v>565</v>
      </c>
      <c r="B344" t="s">
        <v>219</v>
      </c>
      <c r="C344" t="s">
        <v>183</v>
      </c>
      <c r="D344" t="s">
        <v>138</v>
      </c>
      <c r="E344" t="s">
        <v>66</v>
      </c>
      <c r="F344">
        <v>84</v>
      </c>
      <c r="G344">
        <v>25200</v>
      </c>
      <c r="H344">
        <v>10080</v>
      </c>
      <c r="I344" t="s">
        <v>9</v>
      </c>
    </row>
    <row r="345" spans="1:9" x14ac:dyDescent="0.25">
      <c r="A345" t="s">
        <v>566</v>
      </c>
      <c r="B345" t="s">
        <v>310</v>
      </c>
      <c r="C345" t="s">
        <v>185</v>
      </c>
      <c r="D345" t="s">
        <v>155</v>
      </c>
      <c r="E345" t="s">
        <v>34</v>
      </c>
      <c r="F345">
        <v>157</v>
      </c>
      <c r="G345">
        <v>314000</v>
      </c>
      <c r="H345">
        <v>94200</v>
      </c>
      <c r="I345" t="s">
        <v>14</v>
      </c>
    </row>
    <row r="346" spans="1:9" x14ac:dyDescent="0.25">
      <c r="A346" t="s">
        <v>567</v>
      </c>
      <c r="B346" t="s">
        <v>199</v>
      </c>
      <c r="C346" t="s">
        <v>175</v>
      </c>
      <c r="D346" t="s">
        <v>149</v>
      </c>
      <c r="E346" t="s">
        <v>92</v>
      </c>
      <c r="F346">
        <v>101</v>
      </c>
      <c r="G346">
        <v>121200</v>
      </c>
      <c r="H346">
        <v>40400</v>
      </c>
      <c r="I346" t="s">
        <v>41</v>
      </c>
    </row>
    <row r="347" spans="1:9" x14ac:dyDescent="0.25">
      <c r="A347" t="s">
        <v>568</v>
      </c>
      <c r="B347" t="s">
        <v>251</v>
      </c>
      <c r="C347" t="s">
        <v>179</v>
      </c>
      <c r="D347" t="s">
        <v>138</v>
      </c>
      <c r="E347" t="s">
        <v>106</v>
      </c>
      <c r="F347">
        <v>184</v>
      </c>
      <c r="G347">
        <v>3680</v>
      </c>
      <c r="H347">
        <v>1472</v>
      </c>
      <c r="I347" t="s">
        <v>41</v>
      </c>
    </row>
    <row r="348" spans="1:9" x14ac:dyDescent="0.25">
      <c r="A348" t="s">
        <v>569</v>
      </c>
      <c r="B348" t="s">
        <v>269</v>
      </c>
      <c r="C348" t="s">
        <v>185</v>
      </c>
      <c r="D348" t="s">
        <v>163</v>
      </c>
      <c r="E348" t="s">
        <v>25</v>
      </c>
      <c r="F348">
        <v>170</v>
      </c>
      <c r="G348">
        <v>340000</v>
      </c>
      <c r="H348">
        <v>102000</v>
      </c>
      <c r="I348" t="s">
        <v>9</v>
      </c>
    </row>
    <row r="349" spans="1:9" x14ac:dyDescent="0.25">
      <c r="A349" t="s">
        <v>570</v>
      </c>
      <c r="B349" t="s">
        <v>267</v>
      </c>
      <c r="C349" t="s">
        <v>181</v>
      </c>
      <c r="D349" t="s">
        <v>163</v>
      </c>
      <c r="E349" t="s">
        <v>68</v>
      </c>
      <c r="F349">
        <v>9</v>
      </c>
      <c r="G349">
        <v>4500</v>
      </c>
      <c r="H349">
        <v>1800</v>
      </c>
      <c r="I349" t="s">
        <v>41</v>
      </c>
    </row>
    <row r="350" spans="1:9" x14ac:dyDescent="0.25">
      <c r="A350" t="s">
        <v>571</v>
      </c>
      <c r="B350" t="s">
        <v>219</v>
      </c>
      <c r="C350" t="s">
        <v>179</v>
      </c>
      <c r="D350" t="s">
        <v>140</v>
      </c>
      <c r="E350" t="s">
        <v>46</v>
      </c>
      <c r="F350">
        <v>92</v>
      </c>
      <c r="G350">
        <v>1840</v>
      </c>
      <c r="H350">
        <v>736</v>
      </c>
      <c r="I350" t="s">
        <v>9</v>
      </c>
    </row>
    <row r="351" spans="1:9" x14ac:dyDescent="0.25">
      <c r="A351" t="s">
        <v>572</v>
      </c>
      <c r="B351" t="s">
        <v>293</v>
      </c>
      <c r="C351" t="s">
        <v>181</v>
      </c>
      <c r="D351" t="s">
        <v>142</v>
      </c>
      <c r="E351" t="s">
        <v>48</v>
      </c>
      <c r="F351">
        <v>40</v>
      </c>
      <c r="G351">
        <v>20000</v>
      </c>
      <c r="H351">
        <v>8000</v>
      </c>
      <c r="I351" t="s">
        <v>14</v>
      </c>
    </row>
    <row r="352" spans="1:9" x14ac:dyDescent="0.25">
      <c r="A352" t="s">
        <v>573</v>
      </c>
      <c r="B352" t="s">
        <v>253</v>
      </c>
      <c r="C352" t="s">
        <v>175</v>
      </c>
      <c r="D352" t="s">
        <v>149</v>
      </c>
      <c r="E352" t="s">
        <v>27</v>
      </c>
      <c r="F352">
        <v>134</v>
      </c>
      <c r="G352">
        <v>160800</v>
      </c>
      <c r="H352">
        <v>53600</v>
      </c>
      <c r="I352" t="s">
        <v>30</v>
      </c>
    </row>
    <row r="353" spans="1:9" x14ac:dyDescent="0.25">
      <c r="A353" t="s">
        <v>574</v>
      </c>
      <c r="B353" t="s">
        <v>201</v>
      </c>
      <c r="C353" t="s">
        <v>183</v>
      </c>
      <c r="D353" t="s">
        <v>163</v>
      </c>
      <c r="E353" t="s">
        <v>15</v>
      </c>
      <c r="F353">
        <v>174</v>
      </c>
      <c r="G353">
        <v>52200</v>
      </c>
      <c r="H353">
        <v>20880</v>
      </c>
      <c r="I353" t="s">
        <v>18</v>
      </c>
    </row>
    <row r="354" spans="1:9" x14ac:dyDescent="0.25">
      <c r="A354" t="s">
        <v>575</v>
      </c>
      <c r="B354" t="s">
        <v>293</v>
      </c>
      <c r="C354" t="s">
        <v>183</v>
      </c>
      <c r="D354" t="s">
        <v>138</v>
      </c>
      <c r="E354" t="s">
        <v>98</v>
      </c>
      <c r="F354">
        <v>101</v>
      </c>
      <c r="G354">
        <v>30300</v>
      </c>
      <c r="H354">
        <v>12120</v>
      </c>
      <c r="I354" t="s">
        <v>30</v>
      </c>
    </row>
    <row r="355" spans="1:9" x14ac:dyDescent="0.25">
      <c r="A355" t="s">
        <v>576</v>
      </c>
      <c r="B355" t="s">
        <v>207</v>
      </c>
      <c r="C355" t="s">
        <v>177</v>
      </c>
      <c r="D355" t="s">
        <v>140</v>
      </c>
      <c r="E355" t="s">
        <v>110</v>
      </c>
      <c r="F355">
        <v>164</v>
      </c>
      <c r="G355">
        <v>24600</v>
      </c>
      <c r="H355">
        <v>9840</v>
      </c>
      <c r="I355" t="s">
        <v>21</v>
      </c>
    </row>
    <row r="356" spans="1:9" x14ac:dyDescent="0.25">
      <c r="A356" t="s">
        <v>577</v>
      </c>
      <c r="B356" t="s">
        <v>267</v>
      </c>
      <c r="C356" t="s">
        <v>177</v>
      </c>
      <c r="D356" t="s">
        <v>159</v>
      </c>
      <c r="E356" t="s">
        <v>15</v>
      </c>
      <c r="F356">
        <v>110</v>
      </c>
      <c r="G356">
        <v>16500</v>
      </c>
      <c r="H356">
        <v>6600</v>
      </c>
      <c r="I356" t="s">
        <v>18</v>
      </c>
    </row>
    <row r="357" spans="1:9" x14ac:dyDescent="0.25">
      <c r="A357" t="s">
        <v>578</v>
      </c>
      <c r="B357" t="s">
        <v>283</v>
      </c>
      <c r="C357" t="s">
        <v>185</v>
      </c>
      <c r="D357" t="s">
        <v>145</v>
      </c>
      <c r="E357" t="s">
        <v>78</v>
      </c>
      <c r="F357">
        <v>161</v>
      </c>
      <c r="G357">
        <v>322000</v>
      </c>
      <c r="H357">
        <v>96600</v>
      </c>
      <c r="I357" t="s">
        <v>14</v>
      </c>
    </row>
    <row r="358" spans="1:9" x14ac:dyDescent="0.25">
      <c r="A358" t="s">
        <v>579</v>
      </c>
      <c r="B358" t="s">
        <v>193</v>
      </c>
      <c r="C358" t="s">
        <v>185</v>
      </c>
      <c r="D358" t="s">
        <v>159</v>
      </c>
      <c r="E358" t="s">
        <v>48</v>
      </c>
      <c r="F358">
        <v>141</v>
      </c>
      <c r="G358">
        <v>282000</v>
      </c>
      <c r="H358">
        <v>84600</v>
      </c>
      <c r="I358" t="s">
        <v>14</v>
      </c>
    </row>
    <row r="359" spans="1:9" x14ac:dyDescent="0.25">
      <c r="A359" t="s">
        <v>580</v>
      </c>
      <c r="B359" t="s">
        <v>269</v>
      </c>
      <c r="C359" t="s">
        <v>179</v>
      </c>
      <c r="D359" t="s">
        <v>161</v>
      </c>
      <c r="E359" t="s">
        <v>44</v>
      </c>
      <c r="F359">
        <v>99</v>
      </c>
      <c r="G359">
        <v>1980</v>
      </c>
      <c r="H359">
        <v>792</v>
      </c>
      <c r="I359" t="s">
        <v>30</v>
      </c>
    </row>
    <row r="360" spans="1:9" x14ac:dyDescent="0.25">
      <c r="A360" t="s">
        <v>581</v>
      </c>
      <c r="B360" t="s">
        <v>253</v>
      </c>
      <c r="C360" t="s">
        <v>183</v>
      </c>
      <c r="D360" t="s">
        <v>159</v>
      </c>
      <c r="E360" t="s">
        <v>80</v>
      </c>
      <c r="F360">
        <v>77</v>
      </c>
      <c r="G360">
        <v>23100</v>
      </c>
      <c r="H360">
        <v>9240</v>
      </c>
      <c r="I360" t="s">
        <v>9</v>
      </c>
    </row>
    <row r="361" spans="1:9" x14ac:dyDescent="0.25">
      <c r="A361" t="s">
        <v>582</v>
      </c>
      <c r="B361" t="s">
        <v>219</v>
      </c>
      <c r="C361" t="s">
        <v>181</v>
      </c>
      <c r="D361" t="s">
        <v>163</v>
      </c>
      <c r="E361" t="s">
        <v>88</v>
      </c>
      <c r="F361">
        <v>112</v>
      </c>
      <c r="G361">
        <v>56000</v>
      </c>
      <c r="H361">
        <v>22400</v>
      </c>
      <c r="I361" t="s">
        <v>30</v>
      </c>
    </row>
    <row r="362" spans="1:9" x14ac:dyDescent="0.25">
      <c r="A362" t="s">
        <v>583</v>
      </c>
      <c r="B362" t="s">
        <v>212</v>
      </c>
      <c r="C362" t="s">
        <v>177</v>
      </c>
      <c r="D362" t="s">
        <v>142</v>
      </c>
      <c r="E362" t="s">
        <v>98</v>
      </c>
      <c r="F362">
        <v>40</v>
      </c>
      <c r="G362">
        <v>6000</v>
      </c>
      <c r="H362">
        <v>2400</v>
      </c>
      <c r="I362" t="s">
        <v>30</v>
      </c>
    </row>
    <row r="363" spans="1:9" x14ac:dyDescent="0.25">
      <c r="A363" t="s">
        <v>584</v>
      </c>
      <c r="B363" t="s">
        <v>212</v>
      </c>
      <c r="C363" t="s">
        <v>179</v>
      </c>
      <c r="D363" t="s">
        <v>129</v>
      </c>
      <c r="E363" t="s">
        <v>104</v>
      </c>
      <c r="F363">
        <v>128</v>
      </c>
      <c r="G363">
        <v>2560</v>
      </c>
      <c r="H363">
        <v>1024</v>
      </c>
      <c r="I363" t="s">
        <v>18</v>
      </c>
    </row>
    <row r="364" spans="1:9" x14ac:dyDescent="0.25">
      <c r="A364" t="s">
        <v>585</v>
      </c>
      <c r="B364" t="s">
        <v>212</v>
      </c>
      <c r="C364" t="s">
        <v>179</v>
      </c>
      <c r="D364" t="s">
        <v>165</v>
      </c>
      <c r="E364" t="s">
        <v>27</v>
      </c>
      <c r="F364">
        <v>187</v>
      </c>
      <c r="G364">
        <v>3740</v>
      </c>
      <c r="H364">
        <v>1496</v>
      </c>
      <c r="I364" t="s">
        <v>30</v>
      </c>
    </row>
    <row r="365" spans="1:9" x14ac:dyDescent="0.25">
      <c r="A365" t="s">
        <v>586</v>
      </c>
      <c r="B365" t="s">
        <v>253</v>
      </c>
      <c r="C365" t="s">
        <v>183</v>
      </c>
      <c r="D365" t="s">
        <v>135</v>
      </c>
      <c r="E365" t="s">
        <v>58</v>
      </c>
      <c r="F365">
        <v>26</v>
      </c>
      <c r="G365">
        <v>7800</v>
      </c>
      <c r="H365">
        <v>3120</v>
      </c>
      <c r="I365" t="s">
        <v>41</v>
      </c>
    </row>
    <row r="366" spans="1:9" x14ac:dyDescent="0.25">
      <c r="A366" t="s">
        <v>587</v>
      </c>
      <c r="B366" t="s">
        <v>293</v>
      </c>
      <c r="C366" t="s">
        <v>177</v>
      </c>
      <c r="D366" t="s">
        <v>147</v>
      </c>
      <c r="E366" t="s">
        <v>78</v>
      </c>
      <c r="F366">
        <v>136</v>
      </c>
      <c r="G366">
        <v>20400</v>
      </c>
      <c r="H366">
        <v>8160</v>
      </c>
      <c r="I366" t="s">
        <v>14</v>
      </c>
    </row>
    <row r="367" spans="1:9" x14ac:dyDescent="0.25">
      <c r="A367" t="s">
        <v>588</v>
      </c>
      <c r="B367" t="s">
        <v>240</v>
      </c>
      <c r="C367" t="s">
        <v>181</v>
      </c>
      <c r="D367" t="s">
        <v>132</v>
      </c>
      <c r="E367" t="s">
        <v>48</v>
      </c>
      <c r="F367">
        <v>120</v>
      </c>
      <c r="G367">
        <v>60000</v>
      </c>
      <c r="H367">
        <v>24000</v>
      </c>
      <c r="I367" t="s">
        <v>14</v>
      </c>
    </row>
    <row r="368" spans="1:9" x14ac:dyDescent="0.25">
      <c r="A368" t="s">
        <v>589</v>
      </c>
      <c r="B368" t="s">
        <v>233</v>
      </c>
      <c r="C368" t="s">
        <v>179</v>
      </c>
      <c r="D368" t="s">
        <v>126</v>
      </c>
      <c r="E368" t="s">
        <v>74</v>
      </c>
      <c r="F368">
        <v>18</v>
      </c>
      <c r="G368">
        <v>360</v>
      </c>
      <c r="H368">
        <v>144</v>
      </c>
      <c r="I368" t="s">
        <v>9</v>
      </c>
    </row>
    <row r="369" spans="1:9" x14ac:dyDescent="0.25">
      <c r="A369" t="s">
        <v>590</v>
      </c>
      <c r="B369" t="s">
        <v>279</v>
      </c>
      <c r="C369" t="s">
        <v>183</v>
      </c>
      <c r="D369" t="s">
        <v>153</v>
      </c>
      <c r="E369" t="s">
        <v>50</v>
      </c>
      <c r="F369">
        <v>103</v>
      </c>
      <c r="G369">
        <v>30900</v>
      </c>
      <c r="H369">
        <v>12360</v>
      </c>
      <c r="I369" t="s">
        <v>14</v>
      </c>
    </row>
    <row r="370" spans="1:9" x14ac:dyDescent="0.25">
      <c r="A370" t="s">
        <v>591</v>
      </c>
      <c r="B370" t="s">
        <v>235</v>
      </c>
      <c r="C370" t="s">
        <v>179</v>
      </c>
      <c r="D370" t="s">
        <v>145</v>
      </c>
      <c r="E370" t="s">
        <v>10</v>
      </c>
      <c r="F370">
        <v>86</v>
      </c>
      <c r="G370">
        <v>1720</v>
      </c>
      <c r="H370">
        <v>688</v>
      </c>
      <c r="I370" t="s">
        <v>14</v>
      </c>
    </row>
    <row r="371" spans="1:9" x14ac:dyDescent="0.25">
      <c r="A371" t="s">
        <v>592</v>
      </c>
      <c r="B371" t="s">
        <v>221</v>
      </c>
      <c r="C371" t="s">
        <v>175</v>
      </c>
      <c r="D371" t="s">
        <v>151</v>
      </c>
      <c r="E371" t="s">
        <v>37</v>
      </c>
      <c r="F371">
        <v>40</v>
      </c>
      <c r="G371">
        <v>48000</v>
      </c>
      <c r="H371">
        <v>16000</v>
      </c>
      <c r="I371" t="s">
        <v>21</v>
      </c>
    </row>
    <row r="372" spans="1:9" x14ac:dyDescent="0.25">
      <c r="A372" t="s">
        <v>593</v>
      </c>
      <c r="B372" t="s">
        <v>253</v>
      </c>
      <c r="C372" t="s">
        <v>179</v>
      </c>
      <c r="D372" t="s">
        <v>161</v>
      </c>
      <c r="E372" t="s">
        <v>110</v>
      </c>
      <c r="F372">
        <v>40</v>
      </c>
      <c r="G372">
        <v>800</v>
      </c>
      <c r="H372">
        <v>320</v>
      </c>
      <c r="I372" t="s">
        <v>21</v>
      </c>
    </row>
    <row r="373" spans="1:9" x14ac:dyDescent="0.25">
      <c r="A373" t="s">
        <v>594</v>
      </c>
      <c r="B373" t="s">
        <v>214</v>
      </c>
      <c r="C373" t="s">
        <v>185</v>
      </c>
      <c r="D373" t="s">
        <v>161</v>
      </c>
      <c r="E373" t="s">
        <v>78</v>
      </c>
      <c r="F373">
        <v>162</v>
      </c>
      <c r="G373">
        <v>324000</v>
      </c>
      <c r="H373">
        <v>97200</v>
      </c>
      <c r="I373" t="s">
        <v>14</v>
      </c>
    </row>
    <row r="374" spans="1:9" x14ac:dyDescent="0.25">
      <c r="A374" t="s">
        <v>595</v>
      </c>
      <c r="B374" t="s">
        <v>251</v>
      </c>
      <c r="C374" t="s">
        <v>175</v>
      </c>
      <c r="D374" t="s">
        <v>126</v>
      </c>
      <c r="E374" t="s">
        <v>53</v>
      </c>
      <c r="F374">
        <v>60</v>
      </c>
      <c r="G374">
        <v>72000</v>
      </c>
      <c r="H374">
        <v>24000</v>
      </c>
      <c r="I374" t="s">
        <v>21</v>
      </c>
    </row>
    <row r="375" spans="1:9" x14ac:dyDescent="0.25">
      <c r="A375" t="s">
        <v>596</v>
      </c>
      <c r="B375" t="s">
        <v>238</v>
      </c>
      <c r="C375" t="s">
        <v>177</v>
      </c>
      <c r="D375" t="s">
        <v>165</v>
      </c>
      <c r="E375" t="s">
        <v>114</v>
      </c>
      <c r="F375">
        <v>160</v>
      </c>
      <c r="G375">
        <v>24000</v>
      </c>
      <c r="H375">
        <v>9600</v>
      </c>
      <c r="I375" t="s">
        <v>21</v>
      </c>
    </row>
    <row r="376" spans="1:9" x14ac:dyDescent="0.25">
      <c r="A376" t="s">
        <v>597</v>
      </c>
      <c r="B376" t="s">
        <v>193</v>
      </c>
      <c r="C376" t="s">
        <v>181</v>
      </c>
      <c r="D376" t="s">
        <v>135</v>
      </c>
      <c r="E376" t="s">
        <v>120</v>
      </c>
      <c r="F376">
        <v>78</v>
      </c>
      <c r="G376">
        <v>39000</v>
      </c>
      <c r="H376">
        <v>15600</v>
      </c>
      <c r="I376" t="s">
        <v>18</v>
      </c>
    </row>
    <row r="377" spans="1:9" x14ac:dyDescent="0.25">
      <c r="A377" t="s">
        <v>598</v>
      </c>
      <c r="B377" t="s">
        <v>197</v>
      </c>
      <c r="C377" t="s">
        <v>179</v>
      </c>
      <c r="D377" t="s">
        <v>135</v>
      </c>
      <c r="E377" t="s">
        <v>19</v>
      </c>
      <c r="F377">
        <v>66</v>
      </c>
      <c r="G377">
        <v>1320</v>
      </c>
      <c r="H377">
        <v>528</v>
      </c>
      <c r="I377" t="s">
        <v>21</v>
      </c>
    </row>
    <row r="378" spans="1:9" x14ac:dyDescent="0.25">
      <c r="A378" t="s">
        <v>599</v>
      </c>
      <c r="B378" t="s">
        <v>195</v>
      </c>
      <c r="C378" t="s">
        <v>185</v>
      </c>
      <c r="D378" t="s">
        <v>169</v>
      </c>
      <c r="E378" t="s">
        <v>80</v>
      </c>
      <c r="F378">
        <v>21</v>
      </c>
      <c r="G378">
        <v>42000</v>
      </c>
      <c r="H378">
        <v>12600</v>
      </c>
      <c r="I378" t="s">
        <v>9</v>
      </c>
    </row>
    <row r="379" spans="1:9" x14ac:dyDescent="0.25">
      <c r="A379" t="s">
        <v>600</v>
      </c>
      <c r="B379" t="s">
        <v>199</v>
      </c>
      <c r="C379" t="s">
        <v>181</v>
      </c>
      <c r="D379" t="s">
        <v>169</v>
      </c>
      <c r="E379" t="s">
        <v>90</v>
      </c>
      <c r="F379">
        <v>9</v>
      </c>
      <c r="G379">
        <v>4500</v>
      </c>
      <c r="H379">
        <v>1800</v>
      </c>
      <c r="I379" t="s">
        <v>30</v>
      </c>
    </row>
    <row r="380" spans="1:9" x14ac:dyDescent="0.25">
      <c r="A380" t="s">
        <v>601</v>
      </c>
      <c r="B380" t="s">
        <v>293</v>
      </c>
      <c r="C380" t="s">
        <v>183</v>
      </c>
      <c r="D380" t="s">
        <v>167</v>
      </c>
      <c r="E380" t="s">
        <v>50</v>
      </c>
      <c r="F380">
        <v>188</v>
      </c>
      <c r="G380">
        <v>56400</v>
      </c>
      <c r="H380">
        <v>22560</v>
      </c>
      <c r="I380" t="s">
        <v>14</v>
      </c>
    </row>
    <row r="381" spans="1:9" x14ac:dyDescent="0.25">
      <c r="A381" t="s">
        <v>602</v>
      </c>
      <c r="B381" t="s">
        <v>267</v>
      </c>
      <c r="C381" t="s">
        <v>179</v>
      </c>
      <c r="D381" t="s">
        <v>157</v>
      </c>
      <c r="E381" t="s">
        <v>5</v>
      </c>
      <c r="F381">
        <v>162</v>
      </c>
      <c r="G381">
        <v>3240</v>
      </c>
      <c r="H381">
        <v>1296</v>
      </c>
      <c r="I381" t="s">
        <v>9</v>
      </c>
    </row>
    <row r="382" spans="1:9" x14ac:dyDescent="0.25">
      <c r="A382" t="s">
        <v>603</v>
      </c>
      <c r="B382" t="s">
        <v>269</v>
      </c>
      <c r="C382" t="s">
        <v>177</v>
      </c>
      <c r="D382" t="s">
        <v>167</v>
      </c>
      <c r="E382" t="s">
        <v>74</v>
      </c>
      <c r="F382">
        <v>52</v>
      </c>
      <c r="G382">
        <v>7800</v>
      </c>
      <c r="H382">
        <v>3120</v>
      </c>
      <c r="I382" t="s">
        <v>9</v>
      </c>
    </row>
    <row r="383" spans="1:9" x14ac:dyDescent="0.25">
      <c r="A383" t="s">
        <v>604</v>
      </c>
      <c r="B383" t="s">
        <v>279</v>
      </c>
      <c r="C383" t="s">
        <v>185</v>
      </c>
      <c r="D383" t="s">
        <v>132</v>
      </c>
      <c r="E383" t="s">
        <v>88</v>
      </c>
      <c r="F383">
        <v>97</v>
      </c>
      <c r="G383">
        <v>194000</v>
      </c>
      <c r="H383">
        <v>58200</v>
      </c>
      <c r="I383" t="s">
        <v>30</v>
      </c>
    </row>
    <row r="384" spans="1:9" x14ac:dyDescent="0.25">
      <c r="A384" t="s">
        <v>605</v>
      </c>
      <c r="B384" t="s">
        <v>203</v>
      </c>
      <c r="C384" t="s">
        <v>183</v>
      </c>
      <c r="D384" t="s">
        <v>165</v>
      </c>
      <c r="E384" t="s">
        <v>86</v>
      </c>
      <c r="F384">
        <v>134</v>
      </c>
      <c r="G384">
        <v>40200</v>
      </c>
      <c r="H384">
        <v>16080</v>
      </c>
      <c r="I384" t="s">
        <v>21</v>
      </c>
    </row>
    <row r="385" spans="1:9" x14ac:dyDescent="0.25">
      <c r="A385" t="s">
        <v>606</v>
      </c>
      <c r="B385" t="s">
        <v>199</v>
      </c>
      <c r="C385" t="s">
        <v>175</v>
      </c>
      <c r="D385" t="s">
        <v>155</v>
      </c>
      <c r="E385" t="s">
        <v>82</v>
      </c>
      <c r="F385">
        <v>16</v>
      </c>
      <c r="G385">
        <v>19200</v>
      </c>
      <c r="H385">
        <v>6400</v>
      </c>
      <c r="I385" t="s">
        <v>30</v>
      </c>
    </row>
    <row r="386" spans="1:9" x14ac:dyDescent="0.25">
      <c r="A386" t="s">
        <v>607</v>
      </c>
      <c r="B386" t="s">
        <v>214</v>
      </c>
      <c r="C386" t="s">
        <v>181</v>
      </c>
      <c r="D386" t="s">
        <v>153</v>
      </c>
      <c r="E386" t="s">
        <v>53</v>
      </c>
      <c r="F386">
        <v>196</v>
      </c>
      <c r="G386">
        <v>98000</v>
      </c>
      <c r="H386">
        <v>39200</v>
      </c>
      <c r="I386" t="s">
        <v>21</v>
      </c>
    </row>
    <row r="387" spans="1:9" x14ac:dyDescent="0.25">
      <c r="A387" t="s">
        <v>608</v>
      </c>
      <c r="B387" t="s">
        <v>246</v>
      </c>
      <c r="C387" t="s">
        <v>179</v>
      </c>
      <c r="D387" t="s">
        <v>132</v>
      </c>
      <c r="E387" t="s">
        <v>66</v>
      </c>
      <c r="F387">
        <v>66</v>
      </c>
      <c r="G387">
        <v>1320</v>
      </c>
      <c r="H387">
        <v>528</v>
      </c>
      <c r="I387" t="s">
        <v>9</v>
      </c>
    </row>
    <row r="388" spans="1:9" x14ac:dyDescent="0.25">
      <c r="A388" t="s">
        <v>609</v>
      </c>
      <c r="B388" t="s">
        <v>246</v>
      </c>
      <c r="C388" t="s">
        <v>185</v>
      </c>
      <c r="D388" t="s">
        <v>135</v>
      </c>
      <c r="E388" t="s">
        <v>120</v>
      </c>
      <c r="F388">
        <v>153</v>
      </c>
      <c r="G388">
        <v>306000</v>
      </c>
      <c r="H388">
        <v>91800</v>
      </c>
      <c r="I388" t="s">
        <v>18</v>
      </c>
    </row>
    <row r="389" spans="1:9" x14ac:dyDescent="0.25">
      <c r="A389" t="s">
        <v>610</v>
      </c>
      <c r="B389" t="s">
        <v>203</v>
      </c>
      <c r="C389" t="s">
        <v>179</v>
      </c>
      <c r="D389" t="s">
        <v>138</v>
      </c>
      <c r="E389" t="s">
        <v>15</v>
      </c>
      <c r="F389">
        <v>95</v>
      </c>
      <c r="G389">
        <v>1900</v>
      </c>
      <c r="H389">
        <v>760</v>
      </c>
      <c r="I389" t="s">
        <v>18</v>
      </c>
    </row>
    <row r="390" spans="1:9" x14ac:dyDescent="0.25">
      <c r="A390" t="s">
        <v>611</v>
      </c>
      <c r="B390" t="s">
        <v>242</v>
      </c>
      <c r="C390" t="s">
        <v>179</v>
      </c>
      <c r="D390" t="s">
        <v>140</v>
      </c>
      <c r="E390" t="s">
        <v>120</v>
      </c>
      <c r="F390">
        <v>180</v>
      </c>
      <c r="G390">
        <v>3600</v>
      </c>
      <c r="H390">
        <v>1440</v>
      </c>
      <c r="I390" t="s">
        <v>18</v>
      </c>
    </row>
    <row r="391" spans="1:9" x14ac:dyDescent="0.25">
      <c r="A391" t="s">
        <v>612</v>
      </c>
      <c r="B391" t="s">
        <v>207</v>
      </c>
      <c r="C391" t="s">
        <v>185</v>
      </c>
      <c r="D391" t="s">
        <v>161</v>
      </c>
      <c r="E391" t="s">
        <v>102</v>
      </c>
      <c r="F391">
        <v>51</v>
      </c>
      <c r="G391">
        <v>102000</v>
      </c>
      <c r="H391">
        <v>30600</v>
      </c>
      <c r="I391" t="s">
        <v>18</v>
      </c>
    </row>
    <row r="392" spans="1:9" x14ac:dyDescent="0.25">
      <c r="A392" t="s">
        <v>613</v>
      </c>
      <c r="B392" t="s">
        <v>221</v>
      </c>
      <c r="C392" t="s">
        <v>177</v>
      </c>
      <c r="D392" t="s">
        <v>132</v>
      </c>
      <c r="E392" t="s">
        <v>112</v>
      </c>
      <c r="F392">
        <v>122</v>
      </c>
      <c r="G392">
        <v>18300</v>
      </c>
      <c r="H392">
        <v>7320</v>
      </c>
      <c r="I392" t="s">
        <v>14</v>
      </c>
    </row>
    <row r="393" spans="1:9" x14ac:dyDescent="0.25">
      <c r="A393" t="s">
        <v>614</v>
      </c>
      <c r="B393" t="s">
        <v>240</v>
      </c>
      <c r="C393" t="s">
        <v>179</v>
      </c>
      <c r="D393" t="s">
        <v>142</v>
      </c>
      <c r="E393" t="s">
        <v>15</v>
      </c>
      <c r="F393">
        <v>56</v>
      </c>
      <c r="G393">
        <v>1120</v>
      </c>
      <c r="H393">
        <v>448</v>
      </c>
      <c r="I393" t="s">
        <v>18</v>
      </c>
    </row>
    <row r="394" spans="1:9" x14ac:dyDescent="0.25">
      <c r="A394" t="s">
        <v>615</v>
      </c>
      <c r="B394" t="s">
        <v>233</v>
      </c>
      <c r="C394" t="s">
        <v>175</v>
      </c>
      <c r="D394" t="s">
        <v>151</v>
      </c>
      <c r="E394" t="s">
        <v>60</v>
      </c>
      <c r="F394">
        <v>136</v>
      </c>
      <c r="G394">
        <v>163200</v>
      </c>
      <c r="H394">
        <v>54400</v>
      </c>
      <c r="I394" t="s">
        <v>9</v>
      </c>
    </row>
    <row r="395" spans="1:9" x14ac:dyDescent="0.25">
      <c r="A395" t="s">
        <v>616</v>
      </c>
      <c r="B395" t="s">
        <v>253</v>
      </c>
      <c r="C395" t="s">
        <v>183</v>
      </c>
      <c r="D395" t="s">
        <v>161</v>
      </c>
      <c r="E395" t="s">
        <v>53</v>
      </c>
      <c r="F395">
        <v>14</v>
      </c>
      <c r="G395">
        <v>4200</v>
      </c>
      <c r="H395">
        <v>1680</v>
      </c>
      <c r="I395" t="s">
        <v>21</v>
      </c>
    </row>
    <row r="396" spans="1:9" x14ac:dyDescent="0.25">
      <c r="A396" t="s">
        <v>617</v>
      </c>
      <c r="B396" t="s">
        <v>212</v>
      </c>
      <c r="C396" t="s">
        <v>185</v>
      </c>
      <c r="D396" t="s">
        <v>142</v>
      </c>
      <c r="E396" t="s">
        <v>58</v>
      </c>
      <c r="F396">
        <v>96</v>
      </c>
      <c r="G396">
        <v>192000</v>
      </c>
      <c r="H396">
        <v>57600</v>
      </c>
      <c r="I396" t="s">
        <v>41</v>
      </c>
    </row>
    <row r="397" spans="1:9" x14ac:dyDescent="0.25">
      <c r="A397" t="s">
        <v>618</v>
      </c>
      <c r="B397" t="s">
        <v>207</v>
      </c>
      <c r="C397" t="s">
        <v>175</v>
      </c>
      <c r="D397" t="s">
        <v>151</v>
      </c>
      <c r="E397" t="s">
        <v>55</v>
      </c>
      <c r="F397">
        <v>36</v>
      </c>
      <c r="G397">
        <v>43200</v>
      </c>
      <c r="H397">
        <v>14400</v>
      </c>
      <c r="I397" t="s">
        <v>9</v>
      </c>
    </row>
    <row r="398" spans="1:9" x14ac:dyDescent="0.25">
      <c r="A398" t="s">
        <v>619</v>
      </c>
      <c r="B398" t="s">
        <v>242</v>
      </c>
      <c r="C398" t="s">
        <v>179</v>
      </c>
      <c r="D398" t="s">
        <v>157</v>
      </c>
      <c r="E398" t="s">
        <v>72</v>
      </c>
      <c r="F398">
        <v>195</v>
      </c>
      <c r="G398">
        <v>3900</v>
      </c>
      <c r="H398">
        <v>1560</v>
      </c>
      <c r="I398" t="s">
        <v>14</v>
      </c>
    </row>
    <row r="399" spans="1:9" x14ac:dyDescent="0.25">
      <c r="A399" t="s">
        <v>620</v>
      </c>
      <c r="B399" t="s">
        <v>310</v>
      </c>
      <c r="C399" t="s">
        <v>181</v>
      </c>
      <c r="D399" t="s">
        <v>151</v>
      </c>
      <c r="E399" t="s">
        <v>42</v>
      </c>
      <c r="F399">
        <v>132</v>
      </c>
      <c r="G399">
        <v>66000</v>
      </c>
      <c r="H399">
        <v>26400</v>
      </c>
      <c r="I399" t="s">
        <v>9</v>
      </c>
    </row>
    <row r="400" spans="1:9" x14ac:dyDescent="0.25">
      <c r="A400" t="s">
        <v>621</v>
      </c>
      <c r="B400" t="s">
        <v>207</v>
      </c>
      <c r="C400" t="s">
        <v>181</v>
      </c>
      <c r="D400" t="s">
        <v>153</v>
      </c>
      <c r="E400" t="s">
        <v>88</v>
      </c>
      <c r="F400">
        <v>73</v>
      </c>
      <c r="G400">
        <v>36500</v>
      </c>
      <c r="H400">
        <v>14600</v>
      </c>
      <c r="I400" t="s">
        <v>30</v>
      </c>
    </row>
    <row r="401" spans="1:9" x14ac:dyDescent="0.25">
      <c r="A401" t="s">
        <v>622</v>
      </c>
      <c r="B401" t="s">
        <v>226</v>
      </c>
      <c r="C401" t="s">
        <v>175</v>
      </c>
      <c r="D401" t="s">
        <v>157</v>
      </c>
      <c r="E401" t="s">
        <v>25</v>
      </c>
      <c r="F401">
        <v>115</v>
      </c>
      <c r="G401">
        <v>138000</v>
      </c>
      <c r="H401">
        <v>46000</v>
      </c>
      <c r="I401" t="s">
        <v>9</v>
      </c>
    </row>
    <row r="402" spans="1:9" x14ac:dyDescent="0.25">
      <c r="A402" t="s">
        <v>623</v>
      </c>
      <c r="B402" t="s">
        <v>195</v>
      </c>
      <c r="C402" t="s">
        <v>177</v>
      </c>
      <c r="D402" t="s">
        <v>165</v>
      </c>
      <c r="E402" t="s">
        <v>58</v>
      </c>
      <c r="F402">
        <v>87</v>
      </c>
      <c r="G402">
        <v>13050</v>
      </c>
      <c r="H402">
        <v>5220</v>
      </c>
      <c r="I402" t="s">
        <v>41</v>
      </c>
    </row>
    <row r="403" spans="1:9" x14ac:dyDescent="0.25">
      <c r="A403" t="s">
        <v>624</v>
      </c>
      <c r="B403" t="s">
        <v>283</v>
      </c>
      <c r="C403" t="s">
        <v>175</v>
      </c>
      <c r="D403" t="s">
        <v>151</v>
      </c>
      <c r="E403" t="s">
        <v>106</v>
      </c>
      <c r="F403">
        <v>80</v>
      </c>
      <c r="G403">
        <v>96000</v>
      </c>
      <c r="H403">
        <v>32000</v>
      </c>
      <c r="I403" t="s">
        <v>41</v>
      </c>
    </row>
    <row r="404" spans="1:9" x14ac:dyDescent="0.25">
      <c r="A404" t="s">
        <v>625</v>
      </c>
      <c r="B404" t="s">
        <v>210</v>
      </c>
      <c r="C404" t="s">
        <v>181</v>
      </c>
      <c r="D404" t="s">
        <v>169</v>
      </c>
      <c r="E404" t="s">
        <v>112</v>
      </c>
      <c r="F404">
        <v>114</v>
      </c>
      <c r="G404">
        <v>57000</v>
      </c>
      <c r="H404">
        <v>22800</v>
      </c>
      <c r="I404" t="s">
        <v>14</v>
      </c>
    </row>
    <row r="405" spans="1:9" x14ac:dyDescent="0.25">
      <c r="A405" t="s">
        <v>626</v>
      </c>
      <c r="B405" t="s">
        <v>221</v>
      </c>
      <c r="C405" t="s">
        <v>185</v>
      </c>
      <c r="D405" t="s">
        <v>159</v>
      </c>
      <c r="E405" t="s">
        <v>66</v>
      </c>
      <c r="F405">
        <v>119</v>
      </c>
      <c r="G405">
        <v>238000</v>
      </c>
      <c r="H405">
        <v>71400</v>
      </c>
      <c r="I405" t="s">
        <v>9</v>
      </c>
    </row>
    <row r="406" spans="1:9" x14ac:dyDescent="0.25">
      <c r="A406" t="s">
        <v>627</v>
      </c>
      <c r="B406" t="s">
        <v>205</v>
      </c>
      <c r="C406" t="s">
        <v>185</v>
      </c>
      <c r="D406" t="s">
        <v>153</v>
      </c>
      <c r="E406" t="s">
        <v>100</v>
      </c>
      <c r="F406">
        <v>116</v>
      </c>
      <c r="G406">
        <v>232000</v>
      </c>
      <c r="H406">
        <v>69600</v>
      </c>
      <c r="I406" t="s">
        <v>9</v>
      </c>
    </row>
    <row r="407" spans="1:9" x14ac:dyDescent="0.25">
      <c r="A407" t="s">
        <v>628</v>
      </c>
      <c r="B407" t="s">
        <v>199</v>
      </c>
      <c r="C407" t="s">
        <v>185</v>
      </c>
      <c r="D407" t="s">
        <v>129</v>
      </c>
      <c r="E407" t="s">
        <v>22</v>
      </c>
      <c r="F407">
        <v>176</v>
      </c>
      <c r="G407">
        <v>352000</v>
      </c>
      <c r="H407">
        <v>105600</v>
      </c>
      <c r="I407" t="s">
        <v>18</v>
      </c>
    </row>
    <row r="408" spans="1:9" x14ac:dyDescent="0.25">
      <c r="A408" t="s">
        <v>629</v>
      </c>
      <c r="B408" t="s">
        <v>269</v>
      </c>
      <c r="C408" t="s">
        <v>181</v>
      </c>
      <c r="D408" t="s">
        <v>153</v>
      </c>
      <c r="E408" t="s">
        <v>86</v>
      </c>
      <c r="F408">
        <v>196</v>
      </c>
      <c r="G408">
        <v>98000</v>
      </c>
      <c r="H408">
        <v>39200</v>
      </c>
      <c r="I408" t="s">
        <v>21</v>
      </c>
    </row>
    <row r="409" spans="1:9" x14ac:dyDescent="0.25">
      <c r="A409" t="s">
        <v>630</v>
      </c>
      <c r="B409" t="s">
        <v>269</v>
      </c>
      <c r="C409" t="s">
        <v>177</v>
      </c>
      <c r="D409" t="s">
        <v>126</v>
      </c>
      <c r="E409" t="s">
        <v>37</v>
      </c>
      <c r="F409">
        <v>160</v>
      </c>
      <c r="G409">
        <v>24000</v>
      </c>
      <c r="H409">
        <v>9600</v>
      </c>
      <c r="I409" t="s">
        <v>21</v>
      </c>
    </row>
    <row r="410" spans="1:9" x14ac:dyDescent="0.25">
      <c r="A410" t="s">
        <v>631</v>
      </c>
      <c r="B410" t="s">
        <v>193</v>
      </c>
      <c r="C410" t="s">
        <v>181</v>
      </c>
      <c r="D410" t="s">
        <v>129</v>
      </c>
      <c r="E410" t="s">
        <v>34</v>
      </c>
      <c r="F410">
        <v>22</v>
      </c>
      <c r="G410">
        <v>11000</v>
      </c>
      <c r="H410">
        <v>4400</v>
      </c>
      <c r="I410" t="s">
        <v>14</v>
      </c>
    </row>
    <row r="411" spans="1:9" x14ac:dyDescent="0.25">
      <c r="A411" t="s">
        <v>632</v>
      </c>
      <c r="B411" t="s">
        <v>219</v>
      </c>
      <c r="C411" t="s">
        <v>185</v>
      </c>
      <c r="D411" t="s">
        <v>153</v>
      </c>
      <c r="E411" t="s">
        <v>68</v>
      </c>
      <c r="F411">
        <v>103</v>
      </c>
      <c r="G411">
        <v>206000</v>
      </c>
      <c r="H411">
        <v>61800</v>
      </c>
      <c r="I411" t="s">
        <v>41</v>
      </c>
    </row>
    <row r="412" spans="1:9" x14ac:dyDescent="0.25">
      <c r="A412" t="s">
        <v>633</v>
      </c>
      <c r="B412" t="s">
        <v>269</v>
      </c>
      <c r="C412" t="s">
        <v>183</v>
      </c>
      <c r="D412" t="s">
        <v>129</v>
      </c>
      <c r="E412" t="s">
        <v>98</v>
      </c>
      <c r="F412">
        <v>44</v>
      </c>
      <c r="G412">
        <v>13200</v>
      </c>
      <c r="H412">
        <v>5280</v>
      </c>
      <c r="I412" t="s">
        <v>30</v>
      </c>
    </row>
    <row r="413" spans="1:9" x14ac:dyDescent="0.25">
      <c r="A413" t="s">
        <v>634</v>
      </c>
      <c r="B413" t="s">
        <v>253</v>
      </c>
      <c r="C413" t="s">
        <v>181</v>
      </c>
      <c r="D413" t="s">
        <v>153</v>
      </c>
      <c r="E413" t="s">
        <v>68</v>
      </c>
      <c r="F413">
        <v>118</v>
      </c>
      <c r="G413">
        <v>59000</v>
      </c>
      <c r="H413">
        <v>23600</v>
      </c>
      <c r="I413" t="s">
        <v>41</v>
      </c>
    </row>
    <row r="414" spans="1:9" x14ac:dyDescent="0.25">
      <c r="A414" t="s">
        <v>635</v>
      </c>
      <c r="B414" t="s">
        <v>267</v>
      </c>
      <c r="C414" t="s">
        <v>175</v>
      </c>
      <c r="D414" t="s">
        <v>167</v>
      </c>
      <c r="E414" t="s">
        <v>34</v>
      </c>
      <c r="F414">
        <v>140</v>
      </c>
      <c r="G414">
        <v>168000</v>
      </c>
      <c r="H414">
        <v>56000</v>
      </c>
      <c r="I414" t="s">
        <v>14</v>
      </c>
    </row>
    <row r="415" spans="1:9" x14ac:dyDescent="0.25">
      <c r="A415" t="s">
        <v>636</v>
      </c>
      <c r="B415" t="s">
        <v>193</v>
      </c>
      <c r="C415" t="s">
        <v>181</v>
      </c>
      <c r="D415" t="s">
        <v>151</v>
      </c>
      <c r="E415" t="s">
        <v>104</v>
      </c>
      <c r="F415">
        <v>76</v>
      </c>
      <c r="G415">
        <v>38000</v>
      </c>
      <c r="H415">
        <v>15200</v>
      </c>
      <c r="I415" t="s">
        <v>18</v>
      </c>
    </row>
    <row r="416" spans="1:9" x14ac:dyDescent="0.25">
      <c r="A416" t="s">
        <v>637</v>
      </c>
      <c r="B416" t="s">
        <v>217</v>
      </c>
      <c r="C416" t="s">
        <v>175</v>
      </c>
      <c r="D416" t="s">
        <v>126</v>
      </c>
      <c r="E416" t="s">
        <v>116</v>
      </c>
      <c r="F416">
        <v>52</v>
      </c>
      <c r="G416">
        <v>62400</v>
      </c>
      <c r="H416">
        <v>20800</v>
      </c>
      <c r="I416" t="s">
        <v>18</v>
      </c>
    </row>
    <row r="417" spans="1:9" x14ac:dyDescent="0.25">
      <c r="A417" t="s">
        <v>638</v>
      </c>
      <c r="B417" t="s">
        <v>205</v>
      </c>
      <c r="C417" t="s">
        <v>183</v>
      </c>
      <c r="D417" t="s">
        <v>155</v>
      </c>
      <c r="E417" t="s">
        <v>92</v>
      </c>
      <c r="F417">
        <v>35</v>
      </c>
      <c r="G417">
        <v>10500</v>
      </c>
      <c r="H417">
        <v>4200</v>
      </c>
      <c r="I417" t="s">
        <v>41</v>
      </c>
    </row>
    <row r="418" spans="1:9" x14ac:dyDescent="0.25">
      <c r="A418" t="s">
        <v>639</v>
      </c>
      <c r="B418" t="s">
        <v>283</v>
      </c>
      <c r="C418" t="s">
        <v>179</v>
      </c>
      <c r="D418" t="s">
        <v>159</v>
      </c>
      <c r="E418" t="s">
        <v>46</v>
      </c>
      <c r="F418">
        <v>161</v>
      </c>
      <c r="G418">
        <v>3220</v>
      </c>
      <c r="H418">
        <v>1288</v>
      </c>
      <c r="I418" t="s">
        <v>9</v>
      </c>
    </row>
    <row r="419" spans="1:9" x14ac:dyDescent="0.25">
      <c r="A419" t="s">
        <v>640</v>
      </c>
      <c r="B419" t="s">
        <v>293</v>
      </c>
      <c r="C419" t="s">
        <v>185</v>
      </c>
      <c r="D419" t="s">
        <v>161</v>
      </c>
      <c r="E419" t="s">
        <v>44</v>
      </c>
      <c r="F419">
        <v>36</v>
      </c>
      <c r="G419">
        <v>72000</v>
      </c>
      <c r="H419">
        <v>21600</v>
      </c>
      <c r="I419" t="s">
        <v>30</v>
      </c>
    </row>
    <row r="420" spans="1:9" x14ac:dyDescent="0.25">
      <c r="A420" t="s">
        <v>641</v>
      </c>
      <c r="B420" t="s">
        <v>242</v>
      </c>
      <c r="C420" t="s">
        <v>175</v>
      </c>
      <c r="D420" t="s">
        <v>159</v>
      </c>
      <c r="E420" t="s">
        <v>42</v>
      </c>
      <c r="F420">
        <v>187</v>
      </c>
      <c r="G420">
        <v>224400</v>
      </c>
      <c r="H420">
        <v>74800</v>
      </c>
      <c r="I420" t="s">
        <v>9</v>
      </c>
    </row>
    <row r="421" spans="1:9" x14ac:dyDescent="0.25">
      <c r="A421" t="s">
        <v>642</v>
      </c>
      <c r="B421" t="s">
        <v>310</v>
      </c>
      <c r="C421" t="s">
        <v>175</v>
      </c>
      <c r="D421" t="s">
        <v>151</v>
      </c>
      <c r="E421" t="s">
        <v>106</v>
      </c>
      <c r="F421">
        <v>93</v>
      </c>
      <c r="G421">
        <v>111600</v>
      </c>
      <c r="H421">
        <v>37200</v>
      </c>
      <c r="I421" t="s">
        <v>41</v>
      </c>
    </row>
    <row r="422" spans="1:9" x14ac:dyDescent="0.25">
      <c r="A422" t="s">
        <v>643</v>
      </c>
      <c r="B422" t="s">
        <v>240</v>
      </c>
      <c r="C422" t="s">
        <v>175</v>
      </c>
      <c r="D422" t="s">
        <v>165</v>
      </c>
      <c r="E422" t="s">
        <v>90</v>
      </c>
      <c r="F422">
        <v>79</v>
      </c>
      <c r="G422">
        <v>94800</v>
      </c>
      <c r="H422">
        <v>31600</v>
      </c>
      <c r="I422" t="s">
        <v>30</v>
      </c>
    </row>
    <row r="423" spans="1:9" x14ac:dyDescent="0.25">
      <c r="A423" t="s">
        <v>644</v>
      </c>
      <c r="B423" t="s">
        <v>235</v>
      </c>
      <c r="C423" t="s">
        <v>179</v>
      </c>
      <c r="D423" t="s">
        <v>140</v>
      </c>
      <c r="E423" t="s">
        <v>112</v>
      </c>
      <c r="F423">
        <v>186</v>
      </c>
      <c r="G423">
        <v>3720</v>
      </c>
      <c r="H423">
        <v>1488</v>
      </c>
      <c r="I423" t="s">
        <v>14</v>
      </c>
    </row>
    <row r="424" spans="1:9" x14ac:dyDescent="0.25">
      <c r="A424" t="s">
        <v>645</v>
      </c>
      <c r="B424" t="s">
        <v>193</v>
      </c>
      <c r="C424" t="s">
        <v>185</v>
      </c>
      <c r="D424" t="s">
        <v>140</v>
      </c>
      <c r="E424" t="s">
        <v>68</v>
      </c>
      <c r="F424">
        <v>135</v>
      </c>
      <c r="G424">
        <v>270000</v>
      </c>
      <c r="H424">
        <v>81000</v>
      </c>
      <c r="I424" t="s">
        <v>41</v>
      </c>
    </row>
    <row r="425" spans="1:9" x14ac:dyDescent="0.25">
      <c r="A425" t="s">
        <v>646</v>
      </c>
      <c r="B425" t="s">
        <v>207</v>
      </c>
      <c r="C425" t="s">
        <v>175</v>
      </c>
      <c r="D425" t="s">
        <v>142</v>
      </c>
      <c r="E425" t="s">
        <v>34</v>
      </c>
      <c r="F425">
        <v>65</v>
      </c>
      <c r="G425">
        <v>78000</v>
      </c>
      <c r="H425">
        <v>26000</v>
      </c>
      <c r="I425" t="s">
        <v>14</v>
      </c>
    </row>
    <row r="426" spans="1:9" x14ac:dyDescent="0.25">
      <c r="A426" t="s">
        <v>647</v>
      </c>
      <c r="B426" t="s">
        <v>223</v>
      </c>
      <c r="C426" t="s">
        <v>181</v>
      </c>
      <c r="D426" t="s">
        <v>126</v>
      </c>
      <c r="E426" t="s">
        <v>68</v>
      </c>
      <c r="F426">
        <v>146</v>
      </c>
      <c r="G426">
        <v>73000</v>
      </c>
      <c r="H426">
        <v>29200</v>
      </c>
      <c r="I426" t="s">
        <v>41</v>
      </c>
    </row>
    <row r="427" spans="1:9" x14ac:dyDescent="0.25">
      <c r="A427" t="s">
        <v>648</v>
      </c>
      <c r="B427" t="s">
        <v>226</v>
      </c>
      <c r="C427" t="s">
        <v>179</v>
      </c>
      <c r="D427" t="s">
        <v>159</v>
      </c>
      <c r="E427" t="s">
        <v>92</v>
      </c>
      <c r="F427">
        <v>38</v>
      </c>
      <c r="G427">
        <v>760</v>
      </c>
      <c r="H427">
        <v>304</v>
      </c>
      <c r="I427" t="s">
        <v>41</v>
      </c>
    </row>
    <row r="428" spans="1:9" x14ac:dyDescent="0.25">
      <c r="A428" t="s">
        <v>649</v>
      </c>
      <c r="B428" t="s">
        <v>310</v>
      </c>
      <c r="C428" t="s">
        <v>175</v>
      </c>
      <c r="D428" t="s">
        <v>132</v>
      </c>
      <c r="E428" t="s">
        <v>60</v>
      </c>
      <c r="F428">
        <v>106</v>
      </c>
      <c r="G428">
        <v>127200</v>
      </c>
      <c r="H428">
        <v>42400</v>
      </c>
      <c r="I428" t="s">
        <v>9</v>
      </c>
    </row>
    <row r="429" spans="1:9" x14ac:dyDescent="0.25">
      <c r="A429" t="s">
        <v>650</v>
      </c>
      <c r="B429" t="s">
        <v>253</v>
      </c>
      <c r="C429" t="s">
        <v>185</v>
      </c>
      <c r="D429" t="s">
        <v>161</v>
      </c>
      <c r="E429" t="s">
        <v>88</v>
      </c>
      <c r="F429">
        <v>110</v>
      </c>
      <c r="G429">
        <v>220000</v>
      </c>
      <c r="H429">
        <v>66000</v>
      </c>
      <c r="I429" t="s">
        <v>30</v>
      </c>
    </row>
    <row r="430" spans="1:9" x14ac:dyDescent="0.25">
      <c r="A430" t="s">
        <v>651</v>
      </c>
      <c r="B430" t="s">
        <v>201</v>
      </c>
      <c r="C430" t="s">
        <v>181</v>
      </c>
      <c r="D430" t="s">
        <v>167</v>
      </c>
      <c r="E430" t="s">
        <v>22</v>
      </c>
      <c r="F430">
        <v>37</v>
      </c>
      <c r="G430">
        <v>18500</v>
      </c>
      <c r="H430">
        <v>7400</v>
      </c>
      <c r="I430" t="s">
        <v>18</v>
      </c>
    </row>
    <row r="431" spans="1:9" x14ac:dyDescent="0.25">
      <c r="A431" t="s">
        <v>652</v>
      </c>
      <c r="B431" t="s">
        <v>269</v>
      </c>
      <c r="C431" t="s">
        <v>185</v>
      </c>
      <c r="D431" t="s">
        <v>132</v>
      </c>
      <c r="E431" t="s">
        <v>78</v>
      </c>
      <c r="F431">
        <v>124</v>
      </c>
      <c r="G431">
        <v>248000</v>
      </c>
      <c r="H431">
        <v>74400</v>
      </c>
      <c r="I431" t="s">
        <v>14</v>
      </c>
    </row>
    <row r="432" spans="1:9" x14ac:dyDescent="0.25">
      <c r="A432" t="s">
        <v>653</v>
      </c>
      <c r="B432" t="s">
        <v>199</v>
      </c>
      <c r="C432" t="s">
        <v>183</v>
      </c>
      <c r="D432" t="s">
        <v>153</v>
      </c>
      <c r="E432" t="s">
        <v>34</v>
      </c>
      <c r="F432">
        <v>146</v>
      </c>
      <c r="G432">
        <v>43800</v>
      </c>
      <c r="H432">
        <v>17520</v>
      </c>
      <c r="I432" t="s">
        <v>14</v>
      </c>
    </row>
    <row r="433" spans="1:9" x14ac:dyDescent="0.25">
      <c r="A433" t="s">
        <v>654</v>
      </c>
      <c r="B433" t="s">
        <v>197</v>
      </c>
      <c r="C433" t="s">
        <v>183</v>
      </c>
      <c r="D433" t="s">
        <v>140</v>
      </c>
      <c r="E433" t="s">
        <v>120</v>
      </c>
      <c r="F433">
        <v>38</v>
      </c>
      <c r="G433">
        <v>11400</v>
      </c>
      <c r="H433">
        <v>4560</v>
      </c>
      <c r="I433" t="s">
        <v>18</v>
      </c>
    </row>
    <row r="434" spans="1:9" x14ac:dyDescent="0.25">
      <c r="A434" t="s">
        <v>655</v>
      </c>
      <c r="B434" t="s">
        <v>293</v>
      </c>
      <c r="C434" t="s">
        <v>183</v>
      </c>
      <c r="D434" t="s">
        <v>129</v>
      </c>
      <c r="E434" t="s">
        <v>31</v>
      </c>
      <c r="F434">
        <v>137</v>
      </c>
      <c r="G434">
        <v>41100</v>
      </c>
      <c r="H434">
        <v>16440</v>
      </c>
      <c r="I434" t="s">
        <v>14</v>
      </c>
    </row>
    <row r="435" spans="1:9" x14ac:dyDescent="0.25">
      <c r="A435" t="s">
        <v>656</v>
      </c>
      <c r="B435" t="s">
        <v>235</v>
      </c>
      <c r="C435" t="s">
        <v>179</v>
      </c>
      <c r="D435" t="s">
        <v>140</v>
      </c>
      <c r="E435" t="s">
        <v>39</v>
      </c>
      <c r="F435">
        <v>87</v>
      </c>
      <c r="G435">
        <v>1740</v>
      </c>
      <c r="H435">
        <v>696</v>
      </c>
      <c r="I435" t="s">
        <v>41</v>
      </c>
    </row>
    <row r="436" spans="1:9" x14ac:dyDescent="0.25">
      <c r="A436" t="s">
        <v>657</v>
      </c>
      <c r="B436" t="s">
        <v>240</v>
      </c>
      <c r="C436" t="s">
        <v>185</v>
      </c>
      <c r="D436" t="s">
        <v>145</v>
      </c>
      <c r="E436" t="s">
        <v>66</v>
      </c>
      <c r="F436">
        <v>137</v>
      </c>
      <c r="G436">
        <v>274000</v>
      </c>
      <c r="H436">
        <v>82200</v>
      </c>
      <c r="I436" t="s">
        <v>9</v>
      </c>
    </row>
    <row r="437" spans="1:9" x14ac:dyDescent="0.25">
      <c r="A437" t="s">
        <v>658</v>
      </c>
      <c r="B437" t="s">
        <v>199</v>
      </c>
      <c r="C437" t="s">
        <v>179</v>
      </c>
      <c r="D437" t="s">
        <v>132</v>
      </c>
      <c r="E437" t="s">
        <v>53</v>
      </c>
      <c r="F437">
        <v>55</v>
      </c>
      <c r="G437">
        <v>1100</v>
      </c>
      <c r="H437">
        <v>440</v>
      </c>
      <c r="I437" t="s">
        <v>21</v>
      </c>
    </row>
    <row r="438" spans="1:9" x14ac:dyDescent="0.25">
      <c r="A438" t="s">
        <v>659</v>
      </c>
      <c r="B438" t="s">
        <v>283</v>
      </c>
      <c r="C438" t="s">
        <v>183</v>
      </c>
      <c r="D438" t="s">
        <v>147</v>
      </c>
      <c r="E438" t="s">
        <v>34</v>
      </c>
      <c r="F438">
        <v>165</v>
      </c>
      <c r="G438">
        <v>49500</v>
      </c>
      <c r="H438">
        <v>19800</v>
      </c>
      <c r="I438" t="s">
        <v>14</v>
      </c>
    </row>
    <row r="439" spans="1:9" x14ac:dyDescent="0.25">
      <c r="A439" t="s">
        <v>660</v>
      </c>
      <c r="B439" t="s">
        <v>199</v>
      </c>
      <c r="C439" t="s">
        <v>183</v>
      </c>
      <c r="D439" t="s">
        <v>165</v>
      </c>
      <c r="E439" t="s">
        <v>25</v>
      </c>
      <c r="F439">
        <v>133</v>
      </c>
      <c r="G439">
        <v>39900</v>
      </c>
      <c r="H439">
        <v>15960</v>
      </c>
      <c r="I439" t="s">
        <v>9</v>
      </c>
    </row>
    <row r="440" spans="1:9" x14ac:dyDescent="0.25">
      <c r="A440" t="s">
        <v>661</v>
      </c>
      <c r="B440" t="s">
        <v>210</v>
      </c>
      <c r="C440" t="s">
        <v>177</v>
      </c>
      <c r="D440" t="s">
        <v>167</v>
      </c>
      <c r="E440" t="s">
        <v>96</v>
      </c>
      <c r="F440">
        <v>44</v>
      </c>
      <c r="G440">
        <v>6600</v>
      </c>
      <c r="H440">
        <v>2640</v>
      </c>
      <c r="I440" t="s">
        <v>9</v>
      </c>
    </row>
    <row r="441" spans="1:9" x14ac:dyDescent="0.25">
      <c r="A441" t="s">
        <v>662</v>
      </c>
      <c r="B441" t="s">
        <v>201</v>
      </c>
      <c r="C441" t="s">
        <v>185</v>
      </c>
      <c r="D441" t="s">
        <v>169</v>
      </c>
      <c r="E441" t="s">
        <v>114</v>
      </c>
      <c r="F441">
        <v>159</v>
      </c>
      <c r="G441">
        <v>318000</v>
      </c>
      <c r="H441">
        <v>95400</v>
      </c>
      <c r="I441" t="s">
        <v>21</v>
      </c>
    </row>
    <row r="442" spans="1:9" x14ac:dyDescent="0.25">
      <c r="A442" t="s">
        <v>663</v>
      </c>
      <c r="B442" t="s">
        <v>221</v>
      </c>
      <c r="C442" t="s">
        <v>183</v>
      </c>
      <c r="D442" t="s">
        <v>129</v>
      </c>
      <c r="E442" t="s">
        <v>10</v>
      </c>
      <c r="F442">
        <v>25</v>
      </c>
      <c r="G442">
        <v>7500</v>
      </c>
      <c r="H442">
        <v>3000</v>
      </c>
      <c r="I442" t="s">
        <v>14</v>
      </c>
    </row>
    <row r="443" spans="1:9" x14ac:dyDescent="0.25">
      <c r="A443" t="s">
        <v>664</v>
      </c>
      <c r="B443" t="s">
        <v>231</v>
      </c>
      <c r="C443" t="s">
        <v>185</v>
      </c>
      <c r="D443" t="s">
        <v>167</v>
      </c>
      <c r="E443" t="s">
        <v>53</v>
      </c>
      <c r="F443">
        <v>171</v>
      </c>
      <c r="G443">
        <v>342000</v>
      </c>
      <c r="H443">
        <v>102600</v>
      </c>
      <c r="I443" t="s">
        <v>21</v>
      </c>
    </row>
    <row r="444" spans="1:9" x14ac:dyDescent="0.25">
      <c r="A444" t="s">
        <v>665</v>
      </c>
      <c r="B444" t="s">
        <v>214</v>
      </c>
      <c r="C444" t="s">
        <v>183</v>
      </c>
      <c r="D444" t="s">
        <v>157</v>
      </c>
      <c r="E444" t="s">
        <v>100</v>
      </c>
      <c r="F444">
        <v>168</v>
      </c>
      <c r="G444">
        <v>50400</v>
      </c>
      <c r="H444">
        <v>20160</v>
      </c>
      <c r="I444" t="s">
        <v>9</v>
      </c>
    </row>
    <row r="445" spans="1:9" x14ac:dyDescent="0.25">
      <c r="A445" t="s">
        <v>666</v>
      </c>
      <c r="B445" t="s">
        <v>219</v>
      </c>
      <c r="C445" t="s">
        <v>181</v>
      </c>
      <c r="D445" t="s">
        <v>165</v>
      </c>
      <c r="E445" t="s">
        <v>58</v>
      </c>
      <c r="F445">
        <v>169</v>
      </c>
      <c r="G445">
        <v>84500</v>
      </c>
      <c r="H445">
        <v>33800</v>
      </c>
      <c r="I445" t="s">
        <v>41</v>
      </c>
    </row>
    <row r="446" spans="1:9" x14ac:dyDescent="0.25">
      <c r="A446" t="s">
        <v>667</v>
      </c>
      <c r="B446" t="s">
        <v>233</v>
      </c>
      <c r="C446" t="s">
        <v>179</v>
      </c>
      <c r="D446" t="s">
        <v>161</v>
      </c>
      <c r="E446" t="s">
        <v>50</v>
      </c>
      <c r="F446">
        <v>180</v>
      </c>
      <c r="G446">
        <v>3600</v>
      </c>
      <c r="H446">
        <v>1440</v>
      </c>
      <c r="I446" t="s">
        <v>14</v>
      </c>
    </row>
    <row r="447" spans="1:9" x14ac:dyDescent="0.25">
      <c r="A447" t="s">
        <v>668</v>
      </c>
      <c r="B447" t="s">
        <v>221</v>
      </c>
      <c r="C447" t="s">
        <v>179</v>
      </c>
      <c r="D447" t="s">
        <v>159</v>
      </c>
      <c r="E447" t="s">
        <v>22</v>
      </c>
      <c r="F447">
        <v>181</v>
      </c>
      <c r="G447">
        <v>3620</v>
      </c>
      <c r="H447">
        <v>1448</v>
      </c>
      <c r="I447" t="s">
        <v>18</v>
      </c>
    </row>
    <row r="448" spans="1:9" x14ac:dyDescent="0.25">
      <c r="A448" t="s">
        <v>669</v>
      </c>
      <c r="B448" t="s">
        <v>242</v>
      </c>
      <c r="C448" t="s">
        <v>177</v>
      </c>
      <c r="D448" t="s">
        <v>159</v>
      </c>
      <c r="E448" t="s">
        <v>74</v>
      </c>
      <c r="F448">
        <v>128</v>
      </c>
      <c r="G448">
        <v>19200</v>
      </c>
      <c r="H448">
        <v>7680</v>
      </c>
      <c r="I448" t="s">
        <v>9</v>
      </c>
    </row>
    <row r="449" spans="1:9" x14ac:dyDescent="0.25">
      <c r="A449" t="s">
        <v>670</v>
      </c>
      <c r="B449" t="s">
        <v>201</v>
      </c>
      <c r="C449" t="s">
        <v>177</v>
      </c>
      <c r="D449" t="s">
        <v>151</v>
      </c>
      <c r="E449" t="s">
        <v>98</v>
      </c>
      <c r="F449">
        <v>41</v>
      </c>
      <c r="G449">
        <v>6150</v>
      </c>
      <c r="H449">
        <v>2460</v>
      </c>
      <c r="I449" t="s">
        <v>30</v>
      </c>
    </row>
    <row r="450" spans="1:9" x14ac:dyDescent="0.25">
      <c r="A450" t="s">
        <v>671</v>
      </c>
      <c r="B450" t="s">
        <v>233</v>
      </c>
      <c r="C450" t="s">
        <v>185</v>
      </c>
      <c r="D450" t="s">
        <v>151</v>
      </c>
      <c r="E450" t="s">
        <v>114</v>
      </c>
      <c r="F450">
        <v>93</v>
      </c>
      <c r="G450">
        <v>186000</v>
      </c>
      <c r="H450">
        <v>55800</v>
      </c>
      <c r="I450" t="s">
        <v>21</v>
      </c>
    </row>
    <row r="451" spans="1:9" x14ac:dyDescent="0.25">
      <c r="A451" t="s">
        <v>672</v>
      </c>
      <c r="B451" t="s">
        <v>195</v>
      </c>
      <c r="C451" t="s">
        <v>177</v>
      </c>
      <c r="D451" t="s">
        <v>153</v>
      </c>
      <c r="E451" t="s">
        <v>86</v>
      </c>
      <c r="F451">
        <v>148</v>
      </c>
      <c r="G451">
        <v>22200</v>
      </c>
      <c r="H451">
        <v>8880</v>
      </c>
      <c r="I451" t="s">
        <v>21</v>
      </c>
    </row>
    <row r="452" spans="1:9" x14ac:dyDescent="0.25">
      <c r="A452" t="s">
        <v>673</v>
      </c>
      <c r="B452" t="s">
        <v>205</v>
      </c>
      <c r="C452" t="s">
        <v>179</v>
      </c>
      <c r="D452" t="s">
        <v>145</v>
      </c>
      <c r="E452" t="s">
        <v>80</v>
      </c>
      <c r="F452">
        <v>36</v>
      </c>
      <c r="G452">
        <v>720</v>
      </c>
      <c r="H452">
        <v>288</v>
      </c>
      <c r="I452" t="s">
        <v>9</v>
      </c>
    </row>
    <row r="453" spans="1:9" x14ac:dyDescent="0.25">
      <c r="A453" t="s">
        <v>674</v>
      </c>
      <c r="B453" t="s">
        <v>221</v>
      </c>
      <c r="C453" t="s">
        <v>181</v>
      </c>
      <c r="D453" t="s">
        <v>145</v>
      </c>
      <c r="E453" t="s">
        <v>37</v>
      </c>
      <c r="F453">
        <v>29</v>
      </c>
      <c r="G453">
        <v>14500</v>
      </c>
      <c r="H453">
        <v>5800</v>
      </c>
      <c r="I453" t="s">
        <v>21</v>
      </c>
    </row>
    <row r="454" spans="1:9" x14ac:dyDescent="0.25">
      <c r="A454" t="s">
        <v>675</v>
      </c>
      <c r="B454" t="s">
        <v>193</v>
      </c>
      <c r="C454" t="s">
        <v>179</v>
      </c>
      <c r="D454" t="s">
        <v>155</v>
      </c>
      <c r="E454" t="s">
        <v>100</v>
      </c>
      <c r="F454">
        <v>112</v>
      </c>
      <c r="G454">
        <v>2240</v>
      </c>
      <c r="H454">
        <v>896</v>
      </c>
      <c r="I454" t="s">
        <v>9</v>
      </c>
    </row>
    <row r="455" spans="1:9" x14ac:dyDescent="0.25">
      <c r="A455" t="s">
        <v>676</v>
      </c>
      <c r="B455" t="s">
        <v>201</v>
      </c>
      <c r="C455" t="s">
        <v>177</v>
      </c>
      <c r="D455" t="s">
        <v>151</v>
      </c>
      <c r="E455" t="s">
        <v>94</v>
      </c>
      <c r="F455">
        <v>189</v>
      </c>
      <c r="G455">
        <v>28350</v>
      </c>
      <c r="H455">
        <v>11340</v>
      </c>
      <c r="I455" t="s">
        <v>9</v>
      </c>
    </row>
    <row r="456" spans="1:9" x14ac:dyDescent="0.25">
      <c r="A456" t="s">
        <v>677</v>
      </c>
      <c r="B456" t="s">
        <v>242</v>
      </c>
      <c r="C456" t="s">
        <v>177</v>
      </c>
      <c r="D456" t="s">
        <v>140</v>
      </c>
      <c r="E456" t="s">
        <v>84</v>
      </c>
      <c r="F456">
        <v>136</v>
      </c>
      <c r="G456">
        <v>20400</v>
      </c>
      <c r="H456">
        <v>8160</v>
      </c>
      <c r="I456" t="s">
        <v>18</v>
      </c>
    </row>
    <row r="457" spans="1:9" x14ac:dyDescent="0.25">
      <c r="A457" t="s">
        <v>678</v>
      </c>
      <c r="B457" t="s">
        <v>279</v>
      </c>
      <c r="C457" t="s">
        <v>181</v>
      </c>
      <c r="D457" t="s">
        <v>149</v>
      </c>
      <c r="E457" t="s">
        <v>84</v>
      </c>
      <c r="F457">
        <v>10</v>
      </c>
      <c r="G457">
        <v>5000</v>
      </c>
      <c r="H457">
        <v>2000</v>
      </c>
      <c r="I457" t="s">
        <v>18</v>
      </c>
    </row>
    <row r="458" spans="1:9" x14ac:dyDescent="0.25">
      <c r="A458" t="s">
        <v>679</v>
      </c>
      <c r="B458" t="s">
        <v>231</v>
      </c>
      <c r="C458" t="s">
        <v>181</v>
      </c>
      <c r="D458" t="s">
        <v>163</v>
      </c>
      <c r="E458" t="s">
        <v>80</v>
      </c>
      <c r="F458">
        <v>66</v>
      </c>
      <c r="G458">
        <v>33000</v>
      </c>
      <c r="H458">
        <v>13200</v>
      </c>
      <c r="I458" t="s">
        <v>9</v>
      </c>
    </row>
    <row r="459" spans="1:9" x14ac:dyDescent="0.25">
      <c r="A459" t="s">
        <v>680</v>
      </c>
      <c r="B459" t="s">
        <v>283</v>
      </c>
      <c r="C459" t="s">
        <v>183</v>
      </c>
      <c r="D459" t="s">
        <v>153</v>
      </c>
      <c r="E459" t="s">
        <v>19</v>
      </c>
      <c r="F459">
        <v>17</v>
      </c>
      <c r="G459">
        <v>5100</v>
      </c>
      <c r="H459">
        <v>2040</v>
      </c>
      <c r="I459" t="s">
        <v>21</v>
      </c>
    </row>
    <row r="460" spans="1:9" x14ac:dyDescent="0.25">
      <c r="A460" t="s">
        <v>681</v>
      </c>
      <c r="B460" t="s">
        <v>217</v>
      </c>
      <c r="C460" t="s">
        <v>181</v>
      </c>
      <c r="D460" t="s">
        <v>169</v>
      </c>
      <c r="E460" t="s">
        <v>104</v>
      </c>
      <c r="F460">
        <v>177</v>
      </c>
      <c r="G460">
        <v>88500</v>
      </c>
      <c r="H460">
        <v>35400</v>
      </c>
      <c r="I460" t="s">
        <v>18</v>
      </c>
    </row>
    <row r="461" spans="1:9" x14ac:dyDescent="0.25">
      <c r="A461" t="s">
        <v>682</v>
      </c>
      <c r="B461" t="s">
        <v>197</v>
      </c>
      <c r="C461" t="s">
        <v>179</v>
      </c>
      <c r="D461" t="s">
        <v>165</v>
      </c>
      <c r="E461" t="s">
        <v>5</v>
      </c>
      <c r="F461">
        <v>32</v>
      </c>
      <c r="G461">
        <v>640</v>
      </c>
      <c r="H461">
        <v>256</v>
      </c>
      <c r="I461" t="s">
        <v>9</v>
      </c>
    </row>
    <row r="462" spans="1:9" x14ac:dyDescent="0.25">
      <c r="A462" t="s">
        <v>683</v>
      </c>
      <c r="B462" t="s">
        <v>253</v>
      </c>
      <c r="C462" t="s">
        <v>177</v>
      </c>
      <c r="D462" t="s">
        <v>147</v>
      </c>
      <c r="E462" t="s">
        <v>114</v>
      </c>
      <c r="F462">
        <v>98</v>
      </c>
      <c r="G462">
        <v>14700</v>
      </c>
      <c r="H462">
        <v>5880</v>
      </c>
      <c r="I462" t="s">
        <v>21</v>
      </c>
    </row>
    <row r="463" spans="1:9" x14ac:dyDescent="0.25">
      <c r="A463" t="s">
        <v>684</v>
      </c>
      <c r="B463" t="s">
        <v>221</v>
      </c>
      <c r="C463" t="s">
        <v>181</v>
      </c>
      <c r="D463" t="s">
        <v>153</v>
      </c>
      <c r="E463" t="s">
        <v>15</v>
      </c>
      <c r="F463">
        <v>107</v>
      </c>
      <c r="G463">
        <v>53500</v>
      </c>
      <c r="H463">
        <v>21400</v>
      </c>
      <c r="I463" t="s">
        <v>18</v>
      </c>
    </row>
    <row r="464" spans="1:9" x14ac:dyDescent="0.25">
      <c r="A464" t="s">
        <v>685</v>
      </c>
      <c r="B464" t="s">
        <v>203</v>
      </c>
      <c r="C464" t="s">
        <v>183</v>
      </c>
      <c r="D464" t="s">
        <v>165</v>
      </c>
      <c r="E464" t="s">
        <v>44</v>
      </c>
      <c r="F464">
        <v>97</v>
      </c>
      <c r="G464">
        <v>29100</v>
      </c>
      <c r="H464">
        <v>11640</v>
      </c>
      <c r="I464" t="s">
        <v>30</v>
      </c>
    </row>
    <row r="465" spans="1:9" x14ac:dyDescent="0.25">
      <c r="A465" t="s">
        <v>686</v>
      </c>
      <c r="B465" t="s">
        <v>242</v>
      </c>
      <c r="C465" t="s">
        <v>179</v>
      </c>
      <c r="D465" t="s">
        <v>132</v>
      </c>
      <c r="E465" t="s">
        <v>70</v>
      </c>
      <c r="F465">
        <v>134</v>
      </c>
      <c r="G465">
        <v>2680</v>
      </c>
      <c r="H465">
        <v>1072</v>
      </c>
      <c r="I465" t="s">
        <v>41</v>
      </c>
    </row>
    <row r="466" spans="1:9" x14ac:dyDescent="0.25">
      <c r="A466" t="s">
        <v>687</v>
      </c>
      <c r="B466" t="s">
        <v>226</v>
      </c>
      <c r="C466" t="s">
        <v>183</v>
      </c>
      <c r="D466" t="s">
        <v>147</v>
      </c>
      <c r="E466" t="s">
        <v>100</v>
      </c>
      <c r="F466">
        <v>179</v>
      </c>
      <c r="G466">
        <v>53700</v>
      </c>
      <c r="H466">
        <v>21480</v>
      </c>
      <c r="I466" t="s">
        <v>9</v>
      </c>
    </row>
    <row r="467" spans="1:9" x14ac:dyDescent="0.25">
      <c r="A467" t="s">
        <v>688</v>
      </c>
      <c r="B467" t="s">
        <v>267</v>
      </c>
      <c r="C467" t="s">
        <v>175</v>
      </c>
      <c r="D467" t="s">
        <v>138</v>
      </c>
      <c r="E467" t="s">
        <v>27</v>
      </c>
      <c r="F467">
        <v>105</v>
      </c>
      <c r="G467">
        <v>126000</v>
      </c>
      <c r="H467">
        <v>42000</v>
      </c>
      <c r="I467" t="s">
        <v>30</v>
      </c>
    </row>
    <row r="468" spans="1:9" x14ac:dyDescent="0.25">
      <c r="A468" t="s">
        <v>689</v>
      </c>
      <c r="B468" t="s">
        <v>293</v>
      </c>
      <c r="C468" t="s">
        <v>179</v>
      </c>
      <c r="D468" t="s">
        <v>165</v>
      </c>
      <c r="E468" t="s">
        <v>68</v>
      </c>
      <c r="F468">
        <v>198</v>
      </c>
      <c r="G468">
        <v>3960</v>
      </c>
      <c r="H468">
        <v>1584</v>
      </c>
      <c r="I468" t="s">
        <v>41</v>
      </c>
    </row>
    <row r="469" spans="1:9" x14ac:dyDescent="0.25">
      <c r="A469" t="s">
        <v>690</v>
      </c>
      <c r="B469" t="s">
        <v>238</v>
      </c>
      <c r="C469" t="s">
        <v>177</v>
      </c>
      <c r="D469" t="s">
        <v>169</v>
      </c>
      <c r="E469" t="s">
        <v>86</v>
      </c>
      <c r="F469">
        <v>107</v>
      </c>
      <c r="G469">
        <v>16050</v>
      </c>
      <c r="H469">
        <v>6420</v>
      </c>
      <c r="I469" t="s">
        <v>21</v>
      </c>
    </row>
    <row r="470" spans="1:9" x14ac:dyDescent="0.25">
      <c r="A470" t="s">
        <v>691</v>
      </c>
      <c r="B470" t="s">
        <v>310</v>
      </c>
      <c r="C470" t="s">
        <v>175</v>
      </c>
      <c r="D470" t="s">
        <v>129</v>
      </c>
      <c r="E470" t="s">
        <v>15</v>
      </c>
      <c r="F470">
        <v>40</v>
      </c>
      <c r="G470">
        <v>48000</v>
      </c>
      <c r="H470">
        <v>16000</v>
      </c>
      <c r="I470" t="s">
        <v>18</v>
      </c>
    </row>
    <row r="471" spans="1:9" x14ac:dyDescent="0.25">
      <c r="A471" t="s">
        <v>692</v>
      </c>
      <c r="B471" t="s">
        <v>293</v>
      </c>
      <c r="C471" t="s">
        <v>179</v>
      </c>
      <c r="D471" t="s">
        <v>161</v>
      </c>
      <c r="E471" t="s">
        <v>88</v>
      </c>
      <c r="F471">
        <v>121</v>
      </c>
      <c r="G471">
        <v>2420</v>
      </c>
      <c r="H471">
        <v>968</v>
      </c>
      <c r="I471" t="s">
        <v>30</v>
      </c>
    </row>
    <row r="472" spans="1:9" x14ac:dyDescent="0.25">
      <c r="A472" t="s">
        <v>693</v>
      </c>
      <c r="B472" t="s">
        <v>235</v>
      </c>
      <c r="C472" t="s">
        <v>183</v>
      </c>
      <c r="D472" t="s">
        <v>163</v>
      </c>
      <c r="E472" t="s">
        <v>34</v>
      </c>
      <c r="F472">
        <v>88</v>
      </c>
      <c r="G472">
        <v>26400</v>
      </c>
      <c r="H472">
        <v>10560</v>
      </c>
      <c r="I472" t="s">
        <v>14</v>
      </c>
    </row>
    <row r="473" spans="1:9" x14ac:dyDescent="0.25">
      <c r="A473" t="s">
        <v>694</v>
      </c>
      <c r="B473" t="s">
        <v>226</v>
      </c>
      <c r="C473" t="s">
        <v>183</v>
      </c>
      <c r="D473" t="s">
        <v>151</v>
      </c>
      <c r="E473" t="s">
        <v>39</v>
      </c>
      <c r="F473">
        <v>105</v>
      </c>
      <c r="G473">
        <v>31500</v>
      </c>
      <c r="H473">
        <v>12600</v>
      </c>
      <c r="I473" t="s">
        <v>41</v>
      </c>
    </row>
    <row r="474" spans="1:9" x14ac:dyDescent="0.25">
      <c r="A474" t="s">
        <v>695</v>
      </c>
      <c r="B474" t="s">
        <v>238</v>
      </c>
      <c r="C474" t="s">
        <v>185</v>
      </c>
      <c r="D474" t="s">
        <v>149</v>
      </c>
      <c r="E474" t="s">
        <v>96</v>
      </c>
      <c r="F474">
        <v>91</v>
      </c>
      <c r="G474">
        <v>182000</v>
      </c>
      <c r="H474">
        <v>54600</v>
      </c>
      <c r="I474" t="s">
        <v>9</v>
      </c>
    </row>
    <row r="475" spans="1:9" x14ac:dyDescent="0.25">
      <c r="A475" t="s">
        <v>696</v>
      </c>
      <c r="B475" t="s">
        <v>223</v>
      </c>
      <c r="C475" t="s">
        <v>183</v>
      </c>
      <c r="D475" t="s">
        <v>165</v>
      </c>
      <c r="E475" t="s">
        <v>84</v>
      </c>
      <c r="F475">
        <v>186</v>
      </c>
      <c r="G475">
        <v>55800</v>
      </c>
      <c r="H475">
        <v>22320</v>
      </c>
      <c r="I475" t="s">
        <v>18</v>
      </c>
    </row>
    <row r="476" spans="1:9" x14ac:dyDescent="0.25">
      <c r="A476" t="s">
        <v>697</v>
      </c>
      <c r="B476" t="s">
        <v>201</v>
      </c>
      <c r="C476" t="s">
        <v>179</v>
      </c>
      <c r="D476" t="s">
        <v>161</v>
      </c>
      <c r="E476" t="s">
        <v>10</v>
      </c>
      <c r="F476">
        <v>99</v>
      </c>
      <c r="G476">
        <v>1980</v>
      </c>
      <c r="H476">
        <v>792</v>
      </c>
      <c r="I476" t="s">
        <v>14</v>
      </c>
    </row>
    <row r="477" spans="1:9" x14ac:dyDescent="0.25">
      <c r="A477" t="s">
        <v>698</v>
      </c>
      <c r="B477" t="s">
        <v>283</v>
      </c>
      <c r="C477" t="s">
        <v>185</v>
      </c>
      <c r="D477" t="s">
        <v>135</v>
      </c>
      <c r="E477" t="s">
        <v>74</v>
      </c>
      <c r="F477">
        <v>154</v>
      </c>
      <c r="G477">
        <v>308000</v>
      </c>
      <c r="H477">
        <v>92400</v>
      </c>
      <c r="I477" t="s">
        <v>9</v>
      </c>
    </row>
    <row r="478" spans="1:9" x14ac:dyDescent="0.25">
      <c r="A478" t="s">
        <v>699</v>
      </c>
      <c r="B478" t="s">
        <v>205</v>
      </c>
      <c r="C478" t="s">
        <v>185</v>
      </c>
      <c r="D478" t="s">
        <v>126</v>
      </c>
      <c r="E478" t="s">
        <v>98</v>
      </c>
      <c r="F478">
        <v>126</v>
      </c>
      <c r="G478">
        <v>252000</v>
      </c>
      <c r="H478">
        <v>75600</v>
      </c>
      <c r="I478" t="s">
        <v>30</v>
      </c>
    </row>
    <row r="479" spans="1:9" x14ac:dyDescent="0.25">
      <c r="A479" t="s">
        <v>700</v>
      </c>
      <c r="B479" t="s">
        <v>246</v>
      </c>
      <c r="C479" t="s">
        <v>185</v>
      </c>
      <c r="D479" t="s">
        <v>167</v>
      </c>
      <c r="E479" t="s">
        <v>94</v>
      </c>
      <c r="F479">
        <v>63</v>
      </c>
      <c r="G479">
        <v>126000</v>
      </c>
      <c r="H479">
        <v>37800</v>
      </c>
      <c r="I479" t="s">
        <v>9</v>
      </c>
    </row>
    <row r="480" spans="1:9" x14ac:dyDescent="0.25">
      <c r="A480" t="s">
        <v>701</v>
      </c>
      <c r="B480" t="s">
        <v>238</v>
      </c>
      <c r="C480" t="s">
        <v>175</v>
      </c>
      <c r="D480" t="s">
        <v>167</v>
      </c>
      <c r="E480" t="s">
        <v>82</v>
      </c>
      <c r="F480">
        <v>48</v>
      </c>
      <c r="G480">
        <v>57600</v>
      </c>
      <c r="H480">
        <v>19200</v>
      </c>
      <c r="I480" t="s">
        <v>30</v>
      </c>
    </row>
    <row r="481" spans="1:9" x14ac:dyDescent="0.25">
      <c r="A481" t="s">
        <v>702</v>
      </c>
      <c r="B481" t="s">
        <v>293</v>
      </c>
      <c r="C481" t="s">
        <v>185</v>
      </c>
      <c r="D481" t="s">
        <v>169</v>
      </c>
      <c r="E481" t="s">
        <v>120</v>
      </c>
      <c r="F481">
        <v>102</v>
      </c>
      <c r="G481">
        <v>204000</v>
      </c>
      <c r="H481">
        <v>61200</v>
      </c>
      <c r="I481" t="s">
        <v>18</v>
      </c>
    </row>
    <row r="482" spans="1:9" x14ac:dyDescent="0.25">
      <c r="A482" t="s">
        <v>703</v>
      </c>
      <c r="B482" t="s">
        <v>219</v>
      </c>
      <c r="C482" t="s">
        <v>185</v>
      </c>
      <c r="D482" t="s">
        <v>145</v>
      </c>
      <c r="E482" t="s">
        <v>15</v>
      </c>
      <c r="F482">
        <v>151</v>
      </c>
      <c r="G482">
        <v>302000</v>
      </c>
      <c r="H482">
        <v>90600</v>
      </c>
      <c r="I482" t="s">
        <v>18</v>
      </c>
    </row>
    <row r="483" spans="1:9" x14ac:dyDescent="0.25">
      <c r="A483" t="s">
        <v>704</v>
      </c>
      <c r="B483" t="s">
        <v>242</v>
      </c>
      <c r="C483" t="s">
        <v>185</v>
      </c>
      <c r="D483" t="s">
        <v>135</v>
      </c>
      <c r="E483" t="s">
        <v>44</v>
      </c>
      <c r="F483">
        <v>9</v>
      </c>
      <c r="G483">
        <v>18000</v>
      </c>
      <c r="H483">
        <v>5400</v>
      </c>
      <c r="I483" t="s">
        <v>30</v>
      </c>
    </row>
    <row r="484" spans="1:9" x14ac:dyDescent="0.25">
      <c r="A484" t="s">
        <v>705</v>
      </c>
      <c r="B484" t="s">
        <v>310</v>
      </c>
      <c r="C484" t="s">
        <v>179</v>
      </c>
      <c r="D484" t="s">
        <v>157</v>
      </c>
      <c r="E484" t="s">
        <v>37</v>
      </c>
      <c r="F484">
        <v>110</v>
      </c>
      <c r="G484">
        <v>2200</v>
      </c>
      <c r="H484">
        <v>880</v>
      </c>
      <c r="I484" t="s">
        <v>21</v>
      </c>
    </row>
    <row r="485" spans="1:9" x14ac:dyDescent="0.25">
      <c r="A485" t="s">
        <v>706</v>
      </c>
      <c r="B485" t="s">
        <v>235</v>
      </c>
      <c r="C485" t="s">
        <v>177</v>
      </c>
      <c r="D485" t="s">
        <v>157</v>
      </c>
      <c r="E485" t="s">
        <v>86</v>
      </c>
      <c r="F485">
        <v>161</v>
      </c>
      <c r="G485">
        <v>24150</v>
      </c>
      <c r="H485">
        <v>9660</v>
      </c>
      <c r="I485" t="s">
        <v>21</v>
      </c>
    </row>
    <row r="486" spans="1:9" x14ac:dyDescent="0.25">
      <c r="A486" t="s">
        <v>707</v>
      </c>
      <c r="B486" t="s">
        <v>238</v>
      </c>
      <c r="C486" t="s">
        <v>181</v>
      </c>
      <c r="D486" t="s">
        <v>129</v>
      </c>
      <c r="E486" t="s">
        <v>112</v>
      </c>
      <c r="F486">
        <v>40</v>
      </c>
      <c r="G486">
        <v>20000</v>
      </c>
      <c r="H486">
        <v>8000</v>
      </c>
      <c r="I486" t="s">
        <v>14</v>
      </c>
    </row>
    <row r="487" spans="1:9" x14ac:dyDescent="0.25">
      <c r="A487" t="s">
        <v>708</v>
      </c>
      <c r="B487" t="s">
        <v>217</v>
      </c>
      <c r="C487" t="s">
        <v>177</v>
      </c>
      <c r="D487" t="s">
        <v>165</v>
      </c>
      <c r="E487" t="s">
        <v>62</v>
      </c>
      <c r="F487">
        <v>174</v>
      </c>
      <c r="G487">
        <v>26100</v>
      </c>
      <c r="H487">
        <v>10440</v>
      </c>
      <c r="I487" t="s">
        <v>14</v>
      </c>
    </row>
    <row r="488" spans="1:9" x14ac:dyDescent="0.25">
      <c r="A488" t="s">
        <v>709</v>
      </c>
      <c r="B488" t="s">
        <v>242</v>
      </c>
      <c r="C488" t="s">
        <v>183</v>
      </c>
      <c r="D488" t="s">
        <v>155</v>
      </c>
      <c r="E488" t="s">
        <v>62</v>
      </c>
      <c r="F488">
        <v>49</v>
      </c>
      <c r="G488">
        <v>14700</v>
      </c>
      <c r="H488">
        <v>5880</v>
      </c>
      <c r="I488" t="s">
        <v>14</v>
      </c>
    </row>
    <row r="489" spans="1:9" x14ac:dyDescent="0.25">
      <c r="A489" t="s">
        <v>710</v>
      </c>
      <c r="B489" t="s">
        <v>269</v>
      </c>
      <c r="C489" t="s">
        <v>183</v>
      </c>
      <c r="D489" t="s">
        <v>151</v>
      </c>
      <c r="E489" t="s">
        <v>90</v>
      </c>
      <c r="F489">
        <v>95</v>
      </c>
      <c r="G489">
        <v>28500</v>
      </c>
      <c r="H489">
        <v>11400</v>
      </c>
      <c r="I489" t="s">
        <v>30</v>
      </c>
    </row>
    <row r="490" spans="1:9" x14ac:dyDescent="0.25">
      <c r="A490" t="s">
        <v>711</v>
      </c>
      <c r="B490" t="s">
        <v>231</v>
      </c>
      <c r="C490" t="s">
        <v>185</v>
      </c>
      <c r="D490" t="s">
        <v>147</v>
      </c>
      <c r="E490" t="s">
        <v>100</v>
      </c>
      <c r="F490">
        <v>128</v>
      </c>
      <c r="G490">
        <v>256000</v>
      </c>
      <c r="H490">
        <v>76800</v>
      </c>
      <c r="I490" t="s">
        <v>9</v>
      </c>
    </row>
    <row r="491" spans="1:9" x14ac:dyDescent="0.25">
      <c r="A491" t="s">
        <v>712</v>
      </c>
      <c r="B491" t="s">
        <v>193</v>
      </c>
      <c r="C491" t="s">
        <v>177</v>
      </c>
      <c r="D491" t="s">
        <v>147</v>
      </c>
      <c r="E491" t="s">
        <v>92</v>
      </c>
      <c r="F491">
        <v>81</v>
      </c>
      <c r="G491">
        <v>12150</v>
      </c>
      <c r="H491">
        <v>4860</v>
      </c>
      <c r="I491" t="s">
        <v>41</v>
      </c>
    </row>
    <row r="492" spans="1:9" x14ac:dyDescent="0.25">
      <c r="A492" t="s">
        <v>713</v>
      </c>
      <c r="B492" t="s">
        <v>310</v>
      </c>
      <c r="C492" t="s">
        <v>179</v>
      </c>
      <c r="D492" t="s">
        <v>149</v>
      </c>
      <c r="E492" t="s">
        <v>112</v>
      </c>
      <c r="F492">
        <v>58</v>
      </c>
      <c r="G492">
        <v>1160</v>
      </c>
      <c r="H492">
        <v>464</v>
      </c>
      <c r="I492" t="s">
        <v>14</v>
      </c>
    </row>
    <row r="493" spans="1:9" x14ac:dyDescent="0.25">
      <c r="A493" t="s">
        <v>714</v>
      </c>
      <c r="B493" t="s">
        <v>267</v>
      </c>
      <c r="C493" t="s">
        <v>185</v>
      </c>
      <c r="D493" t="s">
        <v>161</v>
      </c>
      <c r="E493" t="s">
        <v>62</v>
      </c>
      <c r="F493">
        <v>127</v>
      </c>
      <c r="G493">
        <v>254000</v>
      </c>
      <c r="H493">
        <v>76200</v>
      </c>
      <c r="I493" t="s">
        <v>14</v>
      </c>
    </row>
    <row r="494" spans="1:9" x14ac:dyDescent="0.25">
      <c r="A494" t="s">
        <v>715</v>
      </c>
      <c r="B494" t="s">
        <v>223</v>
      </c>
      <c r="C494" t="s">
        <v>183</v>
      </c>
      <c r="D494" t="s">
        <v>147</v>
      </c>
      <c r="E494" t="s">
        <v>58</v>
      </c>
      <c r="F494">
        <v>36</v>
      </c>
      <c r="G494">
        <v>10800</v>
      </c>
      <c r="H494">
        <v>4320</v>
      </c>
      <c r="I494" t="s">
        <v>41</v>
      </c>
    </row>
    <row r="495" spans="1:9" x14ac:dyDescent="0.25">
      <c r="A495" t="s">
        <v>716</v>
      </c>
      <c r="B495" t="s">
        <v>251</v>
      </c>
      <c r="C495" t="s">
        <v>185</v>
      </c>
      <c r="D495" t="s">
        <v>165</v>
      </c>
      <c r="E495" t="s">
        <v>70</v>
      </c>
      <c r="F495">
        <v>2</v>
      </c>
      <c r="G495">
        <v>4000</v>
      </c>
      <c r="H495">
        <v>63600</v>
      </c>
      <c r="I495" t="s">
        <v>41</v>
      </c>
    </row>
    <row r="496" spans="1:9" x14ac:dyDescent="0.25">
      <c r="A496" t="s">
        <v>717</v>
      </c>
      <c r="B496" t="s">
        <v>283</v>
      </c>
      <c r="C496" t="s">
        <v>179</v>
      </c>
      <c r="D496" t="s">
        <v>138</v>
      </c>
      <c r="E496" t="s">
        <v>58</v>
      </c>
      <c r="F496">
        <v>15</v>
      </c>
      <c r="G496">
        <v>300</v>
      </c>
      <c r="H496">
        <v>120</v>
      </c>
      <c r="I496" t="s">
        <v>41</v>
      </c>
    </row>
    <row r="497" spans="1:9" x14ac:dyDescent="0.25">
      <c r="A497" t="s">
        <v>718</v>
      </c>
      <c r="B497" t="s">
        <v>199</v>
      </c>
      <c r="C497" t="s">
        <v>185</v>
      </c>
      <c r="D497" t="s">
        <v>132</v>
      </c>
      <c r="E497" t="s">
        <v>66</v>
      </c>
      <c r="F497">
        <v>118</v>
      </c>
      <c r="G497">
        <v>236000</v>
      </c>
      <c r="H497">
        <v>70800</v>
      </c>
      <c r="I497" t="s">
        <v>9</v>
      </c>
    </row>
    <row r="498" spans="1:9" x14ac:dyDescent="0.25">
      <c r="A498" t="s">
        <v>719</v>
      </c>
      <c r="B498" t="s">
        <v>251</v>
      </c>
      <c r="C498" t="s">
        <v>179</v>
      </c>
      <c r="D498" t="s">
        <v>161</v>
      </c>
      <c r="E498" t="s">
        <v>46</v>
      </c>
      <c r="F498">
        <v>56</v>
      </c>
      <c r="G498">
        <v>1120</v>
      </c>
      <c r="H498">
        <v>448</v>
      </c>
      <c r="I498" t="s">
        <v>9</v>
      </c>
    </row>
    <row r="499" spans="1:9" x14ac:dyDescent="0.25">
      <c r="A499" t="s">
        <v>720</v>
      </c>
      <c r="B499" t="s">
        <v>205</v>
      </c>
      <c r="C499" t="s">
        <v>183</v>
      </c>
      <c r="D499" t="s">
        <v>147</v>
      </c>
      <c r="E499" t="s">
        <v>92</v>
      </c>
      <c r="F499">
        <v>183</v>
      </c>
      <c r="G499">
        <v>54900</v>
      </c>
      <c r="H499">
        <v>21960</v>
      </c>
      <c r="I499" t="s">
        <v>41</v>
      </c>
    </row>
    <row r="500" spans="1:9" x14ac:dyDescent="0.25">
      <c r="A500" t="s">
        <v>721</v>
      </c>
      <c r="B500" t="s">
        <v>223</v>
      </c>
      <c r="C500" t="s">
        <v>177</v>
      </c>
      <c r="D500" t="s">
        <v>135</v>
      </c>
      <c r="E500" t="s">
        <v>100</v>
      </c>
      <c r="F500">
        <v>194</v>
      </c>
      <c r="G500">
        <v>29100</v>
      </c>
      <c r="H500">
        <v>11640</v>
      </c>
      <c r="I500" t="s">
        <v>9</v>
      </c>
    </row>
    <row r="501" spans="1:9" x14ac:dyDescent="0.25">
      <c r="A501" t="s">
        <v>722</v>
      </c>
      <c r="B501" t="s">
        <v>240</v>
      </c>
      <c r="C501" t="s">
        <v>177</v>
      </c>
      <c r="D501" t="s">
        <v>145</v>
      </c>
      <c r="E501" t="s">
        <v>19</v>
      </c>
      <c r="F501">
        <v>176</v>
      </c>
      <c r="G501">
        <v>26400</v>
      </c>
      <c r="H501">
        <v>10560</v>
      </c>
      <c r="I501" t="s">
        <v>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CC68-9CDE-4DB6-9BF8-BCA4407086BC}">
  <dimension ref="A3:E49"/>
  <sheetViews>
    <sheetView showGridLines="0" topLeftCell="A25" workbookViewId="0">
      <selection activeCell="T47" sqref="T47"/>
    </sheetView>
  </sheetViews>
  <sheetFormatPr defaultRowHeight="15" x14ac:dyDescent="0.25"/>
  <cols>
    <col min="1" max="1" width="24.28515625" bestFit="1" customWidth="1"/>
    <col min="2" max="2" width="12.7109375" bestFit="1" customWidth="1"/>
    <col min="3" max="3" width="12.5703125" bestFit="1" customWidth="1"/>
    <col min="4" max="4" width="9.140625" customWidth="1"/>
  </cols>
  <sheetData>
    <row r="3" spans="1:3" x14ac:dyDescent="0.25">
      <c r="A3" s="34" t="s">
        <v>744</v>
      </c>
      <c r="B3" t="s">
        <v>746</v>
      </c>
      <c r="C3" t="s">
        <v>747</v>
      </c>
    </row>
    <row r="4" spans="1:3" x14ac:dyDescent="0.25">
      <c r="A4" s="35" t="s">
        <v>33</v>
      </c>
      <c r="B4" s="29">
        <v>387974.16666666669</v>
      </c>
      <c r="C4" s="29">
        <v>12317560</v>
      </c>
    </row>
    <row r="5" spans="1:3" x14ac:dyDescent="0.25">
      <c r="A5" s="35" t="s">
        <v>7</v>
      </c>
      <c r="B5" s="29">
        <v>236628.60666666666</v>
      </c>
      <c r="C5" s="29">
        <v>6233420</v>
      </c>
    </row>
    <row r="6" spans="1:3" x14ac:dyDescent="0.25">
      <c r="A6" s="35" t="s">
        <v>12</v>
      </c>
      <c r="B6" s="29">
        <v>303856.42000000004</v>
      </c>
      <c r="C6" s="29">
        <v>8716580</v>
      </c>
    </row>
    <row r="7" spans="1:3" x14ac:dyDescent="0.25">
      <c r="A7" s="35" t="s">
        <v>17</v>
      </c>
      <c r="B7" s="29">
        <v>214938.16</v>
      </c>
      <c r="C7" s="29">
        <v>5485550</v>
      </c>
    </row>
    <row r="8" spans="1:3" x14ac:dyDescent="0.25">
      <c r="A8" s="35" t="s">
        <v>29</v>
      </c>
      <c r="B8" s="29">
        <v>102761.26666666666</v>
      </c>
      <c r="C8" s="29">
        <v>4466420</v>
      </c>
    </row>
    <row r="23" spans="1:3" x14ac:dyDescent="0.25">
      <c r="A23" s="34" t="s">
        <v>744</v>
      </c>
      <c r="B23" t="s">
        <v>746</v>
      </c>
      <c r="C23" t="s">
        <v>747</v>
      </c>
    </row>
    <row r="24" spans="1:3" x14ac:dyDescent="0.25">
      <c r="A24" s="35" t="s">
        <v>36</v>
      </c>
      <c r="B24" s="29">
        <v>195574.09999999998</v>
      </c>
      <c r="C24" s="29">
        <v>6625170</v>
      </c>
    </row>
    <row r="25" spans="1:3" x14ac:dyDescent="0.25">
      <c r="A25" s="35" t="s">
        <v>57</v>
      </c>
      <c r="B25" s="29">
        <v>59798.44</v>
      </c>
      <c r="C25" s="29">
        <v>1846100</v>
      </c>
    </row>
    <row r="26" spans="1:3" x14ac:dyDescent="0.25">
      <c r="A26" s="35" t="s">
        <v>13</v>
      </c>
      <c r="B26" s="29">
        <v>356468.60000000003</v>
      </c>
      <c r="C26" s="29">
        <v>9732490</v>
      </c>
    </row>
    <row r="27" spans="1:3" x14ac:dyDescent="0.25">
      <c r="A27" s="35" t="s">
        <v>52</v>
      </c>
      <c r="B27" s="29">
        <v>262327.2</v>
      </c>
      <c r="C27" s="29">
        <v>9067330</v>
      </c>
    </row>
    <row r="28" spans="1:3" x14ac:dyDescent="0.25">
      <c r="A28" s="35" t="s">
        <v>8</v>
      </c>
      <c r="B28" s="29">
        <v>225966.76</v>
      </c>
      <c r="C28" s="29">
        <v>5997680</v>
      </c>
    </row>
    <row r="29" spans="1:3" x14ac:dyDescent="0.25">
      <c r="A29" s="35" t="s">
        <v>24</v>
      </c>
      <c r="B29" s="29">
        <v>146023.52000000002</v>
      </c>
      <c r="C29" s="29">
        <v>3950760</v>
      </c>
    </row>
    <row r="31" spans="1:3" x14ac:dyDescent="0.25">
      <c r="A31" t="s">
        <v>747</v>
      </c>
    </row>
    <row r="32" spans="1:3" x14ac:dyDescent="0.25">
      <c r="A32" s="29">
        <v>37219530</v>
      </c>
      <c r="B32" s="29">
        <v>37219530</v>
      </c>
    </row>
    <row r="34" spans="1:5" x14ac:dyDescent="0.25">
      <c r="A34" t="s">
        <v>745</v>
      </c>
    </row>
    <row r="35" spans="1:5" x14ac:dyDescent="0.25">
      <c r="A35" s="29">
        <v>1246158.6199999999</v>
      </c>
      <c r="B35" s="29">
        <v>1246158.6199999999</v>
      </c>
    </row>
    <row r="37" spans="1:5" x14ac:dyDescent="0.25">
      <c r="A37" t="s">
        <v>748</v>
      </c>
    </row>
    <row r="38" spans="1:5" x14ac:dyDescent="0.25">
      <c r="A38" s="36">
        <v>50</v>
      </c>
      <c r="B38">
        <v>50</v>
      </c>
    </row>
    <row r="43" spans="1:5" x14ac:dyDescent="0.25">
      <c r="A43" s="34" t="s">
        <v>744</v>
      </c>
      <c r="B43" t="s">
        <v>746</v>
      </c>
      <c r="D43" s="30" t="s">
        <v>728</v>
      </c>
      <c r="E43" s="30" t="s">
        <v>746</v>
      </c>
    </row>
    <row r="44" spans="1:5" x14ac:dyDescent="0.25">
      <c r="A44" s="35" t="s">
        <v>21</v>
      </c>
      <c r="B44" s="29">
        <v>198141</v>
      </c>
      <c r="D44" s="30" t="s">
        <v>21</v>
      </c>
      <c r="E44" s="30">
        <v>198141</v>
      </c>
    </row>
    <row r="45" spans="1:5" x14ac:dyDescent="0.25">
      <c r="A45" s="35" t="s">
        <v>14</v>
      </c>
      <c r="B45" s="29">
        <v>131415.6</v>
      </c>
      <c r="D45" s="30" t="s">
        <v>14</v>
      </c>
      <c r="E45" s="30">
        <v>131415.6</v>
      </c>
    </row>
    <row r="46" spans="1:5" x14ac:dyDescent="0.25">
      <c r="A46" s="35" t="s">
        <v>41</v>
      </c>
      <c r="B46" s="29">
        <v>114720.3</v>
      </c>
      <c r="D46" s="30" t="s">
        <v>41</v>
      </c>
      <c r="E46" s="30">
        <v>114720.3</v>
      </c>
    </row>
    <row r="47" spans="1:5" x14ac:dyDescent="0.25">
      <c r="A47" s="35" t="s">
        <v>30</v>
      </c>
      <c r="B47" s="29">
        <v>103478.31999999999</v>
      </c>
      <c r="D47" s="30" t="s">
        <v>30</v>
      </c>
      <c r="E47" s="30">
        <v>103478.31999999999</v>
      </c>
    </row>
    <row r="48" spans="1:5" x14ac:dyDescent="0.25">
      <c r="A48" s="35" t="s">
        <v>9</v>
      </c>
      <c r="B48" s="29">
        <v>419405.60000000003</v>
      </c>
      <c r="D48" s="30" t="s">
        <v>9</v>
      </c>
      <c r="E48" s="30">
        <v>419405.60000000003</v>
      </c>
    </row>
    <row r="49" spans="1:5" x14ac:dyDescent="0.25">
      <c r="A49" s="35" t="s">
        <v>18</v>
      </c>
      <c r="B49" s="29">
        <v>278997.8</v>
      </c>
      <c r="D49" s="30" t="s">
        <v>18</v>
      </c>
      <c r="E49" s="30">
        <v>278997.8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006-56D3-4F84-BA0A-88D9DF6B25B2}">
  <dimension ref="A1"/>
  <sheetViews>
    <sheetView showGridLines="0" tabSelected="1" zoomScale="98" workbookViewId="0">
      <selection activeCell="AA9" sqref="AA9"/>
    </sheetView>
  </sheetViews>
  <sheetFormatPr defaultRowHeight="15" x14ac:dyDescent="0.25"/>
  <cols>
    <col min="25" max="25" width="24.28515625" bestFit="1" customWidth="1"/>
    <col min="26" max="26" width="12.7109375" bestFit="1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C273-D4FE-4BDA-BAF7-ED8BA691C866}">
  <dimension ref="A1:K51"/>
  <sheetViews>
    <sheetView workbookViewId="0">
      <selection activeCell="K11" sqref="K11"/>
    </sheetView>
  </sheetViews>
  <sheetFormatPr defaultRowHeight="15" x14ac:dyDescent="0.25"/>
  <cols>
    <col min="1" max="1" width="16.28515625" bestFit="1" customWidth="1"/>
    <col min="2" max="2" width="19.85546875" bestFit="1" customWidth="1"/>
    <col min="3" max="3" width="16.28515625" bestFit="1" customWidth="1"/>
    <col min="4" max="4" width="14" bestFit="1" customWidth="1"/>
    <col min="5" max="5" width="24.28515625" bestFit="1" customWidth="1"/>
    <col min="6" max="6" width="15.42578125" style="29" bestFit="1" customWidth="1"/>
    <col min="7" max="7" width="15" style="29" bestFit="1" customWidth="1"/>
    <col min="8" max="8" width="17.28515625" style="29" bestFit="1" customWidth="1"/>
    <col min="9" max="9" width="15.5703125" style="29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3" t="s">
        <v>723</v>
      </c>
      <c r="G1" s="33" t="s">
        <v>724</v>
      </c>
      <c r="H1" s="32" t="s">
        <v>30</v>
      </c>
      <c r="I1" s="31" t="s">
        <v>743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29">
        <v>3000</v>
      </c>
      <c r="G2" s="29">
        <f>SUMIF(Sales!$E$2:$E$501,'Employees + Sales'!A2,Sales!$G$2:$G$501)</f>
        <v>463620</v>
      </c>
      <c r="H2" s="29">
        <f>SUMIF(Sales!$E$2:$E$501,Employee_table[[#This Row],[EmployeeID]],Sales!$H$2:$H$501)</f>
        <v>150168</v>
      </c>
      <c r="I2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33847.466666666667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29">
        <v>2250</v>
      </c>
      <c r="G3" s="29">
        <f>SUMIF(Sales!$E$2:$E$501,'Employees + Sales'!A3,Sales!$G$2:$G$501)</f>
        <v>277010</v>
      </c>
      <c r="H3" s="29">
        <f>SUMIF(Sales!$E$2:$E$501,Employee_table[[#This Row],[EmployeeID]],Sales!$H$2:$H$501)</f>
        <v>95124</v>
      </c>
      <c r="I3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7790.2</v>
      </c>
    </row>
    <row r="4" spans="1:11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  <c r="F4" s="29">
        <v>3300</v>
      </c>
      <c r="G4" s="29">
        <f>SUMIF(Sales!$E$2:$E$501,'Employees + Sales'!A4,Sales!$G$2:$G$501)</f>
        <v>659280</v>
      </c>
      <c r="H4" s="29">
        <f>SUMIF(Sales!$E$2:$E$501,Employee_table[[#This Row],[EmployeeID]],Sales!$H$2:$H$501)</f>
        <v>221112</v>
      </c>
      <c r="I4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19778.399999999998</v>
      </c>
    </row>
    <row r="5" spans="1:11" x14ac:dyDescent="0.25">
      <c r="A5" t="s">
        <v>19</v>
      </c>
      <c r="B5" t="s">
        <v>20</v>
      </c>
      <c r="C5" t="s">
        <v>7</v>
      </c>
      <c r="D5" t="s">
        <v>8</v>
      </c>
      <c r="E5" t="s">
        <v>21</v>
      </c>
      <c r="F5" s="29">
        <v>0</v>
      </c>
      <c r="G5" s="29">
        <f>SUMIF(Sales!$E$2:$E$501,'Employees + Sales'!A5,Sales!$G$2:$G$501)</f>
        <v>204540</v>
      </c>
      <c r="H5" s="29">
        <f>SUMIF(Sales!$E$2:$E$501,Employee_table[[#This Row],[EmployeeID]],Sales!$H$2:$H$501)</f>
        <v>78416</v>
      </c>
      <c r="I5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10227</v>
      </c>
    </row>
    <row r="6" spans="1:11" x14ac:dyDescent="0.25">
      <c r="A6" t="s">
        <v>22</v>
      </c>
      <c r="B6" t="s">
        <v>23</v>
      </c>
      <c r="C6" t="s">
        <v>12</v>
      </c>
      <c r="D6" t="s">
        <v>24</v>
      </c>
      <c r="E6" t="s">
        <v>18</v>
      </c>
      <c r="F6" s="29">
        <v>3750</v>
      </c>
      <c r="G6" s="29">
        <f>SUMIF(Sales!$E$2:$E$501,'Employees + Sales'!A6,Sales!$G$2:$G$501)</f>
        <v>1006320</v>
      </c>
      <c r="H6" s="29">
        <f>SUMIF(Sales!$E$2:$E$501,Employee_table[[#This Row],[EmployeeID]],Sales!$H$2:$H$501)</f>
        <v>311648</v>
      </c>
      <c r="I6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50316</v>
      </c>
    </row>
    <row r="7" spans="1:11" x14ac:dyDescent="0.25">
      <c r="A7" t="s">
        <v>25</v>
      </c>
      <c r="B7" t="s">
        <v>26</v>
      </c>
      <c r="C7" t="s">
        <v>17</v>
      </c>
      <c r="D7" t="s">
        <v>13</v>
      </c>
      <c r="E7" t="s">
        <v>9</v>
      </c>
      <c r="F7" s="29">
        <v>3750</v>
      </c>
      <c r="G7" s="29">
        <f>SUMIF(Sales!$E$2:$E$501,'Employees + Sales'!A7,Sales!$G$2:$G$501)</f>
        <v>902400</v>
      </c>
      <c r="H7" s="29">
        <f>SUMIF(Sales!$E$2:$E$501,Employee_table[[#This Row],[EmployeeID]],Sales!$H$2:$H$501)</f>
        <v>294560</v>
      </c>
      <c r="I7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58089.599999999999</v>
      </c>
      <c r="J7" s="7"/>
      <c r="K7" s="7"/>
    </row>
    <row r="8" spans="1:11" x14ac:dyDescent="0.25">
      <c r="A8" t="s">
        <v>27</v>
      </c>
      <c r="B8" t="s">
        <v>28</v>
      </c>
      <c r="C8" t="s">
        <v>29</v>
      </c>
      <c r="D8" t="s">
        <v>13</v>
      </c>
      <c r="E8" t="s">
        <v>30</v>
      </c>
      <c r="F8" s="29">
        <v>3750</v>
      </c>
      <c r="G8" s="29">
        <f>SUMIF(Sales!$E$2:$E$501,'Employees + Sales'!A8,Sales!$G$2:$G$501)</f>
        <v>976640</v>
      </c>
      <c r="H8" s="29">
        <f>SUMIF(Sales!$E$2:$E$501,Employee_table[[#This Row],[EmployeeID]],Sales!$H$2:$H$501)</f>
        <v>315816</v>
      </c>
      <c r="I8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17369.88</v>
      </c>
      <c r="J8" s="7"/>
      <c r="K8" s="7"/>
    </row>
    <row r="9" spans="1:11" x14ac:dyDescent="0.25">
      <c r="A9" t="s">
        <v>31</v>
      </c>
      <c r="B9" t="s">
        <v>32</v>
      </c>
      <c r="C9" t="s">
        <v>33</v>
      </c>
      <c r="D9" t="s">
        <v>8</v>
      </c>
      <c r="E9" t="s">
        <v>14</v>
      </c>
      <c r="F9" s="29">
        <v>3300</v>
      </c>
      <c r="G9" s="29">
        <f>SUMIF(Sales!$E$2:$E$501,'Employees + Sales'!A9,Sales!$G$2:$G$501)</f>
        <v>132880</v>
      </c>
      <c r="H9" s="29">
        <f>SUMIF(Sales!$E$2:$E$501,Employee_table[[#This Row],[EmployeeID]],Sales!$H$2:$H$501)</f>
        <v>50752</v>
      </c>
      <c r="I9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5957.6</v>
      </c>
      <c r="J9" s="7"/>
      <c r="K9" s="7"/>
    </row>
    <row r="10" spans="1:11" x14ac:dyDescent="0.25">
      <c r="A10" t="s">
        <v>34</v>
      </c>
      <c r="B10" t="s">
        <v>35</v>
      </c>
      <c r="C10" t="s">
        <v>33</v>
      </c>
      <c r="D10" t="s">
        <v>36</v>
      </c>
      <c r="E10" t="s">
        <v>14</v>
      </c>
      <c r="F10" s="29">
        <v>2250</v>
      </c>
      <c r="G10" s="29">
        <f>SUMIF(Sales!$E$2:$E$501,'Employees + Sales'!A10,Sales!$G$2:$G$501)</f>
        <v>1056570</v>
      </c>
      <c r="H10" s="29">
        <f>SUMIF(Sales!$E$2:$E$501,Employee_table[[#This Row],[EmployeeID]],Sales!$H$2:$H$501)</f>
        <v>355148</v>
      </c>
      <c r="I10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23381.4</v>
      </c>
      <c r="J10" s="7"/>
      <c r="K10" s="7"/>
    </row>
    <row r="11" spans="1:11" x14ac:dyDescent="0.25">
      <c r="A11" t="s">
        <v>37</v>
      </c>
      <c r="B11" t="s">
        <v>38</v>
      </c>
      <c r="C11" t="s">
        <v>33</v>
      </c>
      <c r="D11" t="s">
        <v>8</v>
      </c>
      <c r="E11" t="s">
        <v>21</v>
      </c>
      <c r="F11" s="29">
        <v>0</v>
      </c>
      <c r="G11" s="29">
        <f>SUMIF(Sales!$E$2:$E$501,'Employees + Sales'!A11,Sales!$G$2:$G$501)</f>
        <v>389040</v>
      </c>
      <c r="H11" s="29">
        <f>SUMIF(Sales!$E$2:$E$501,Employee_table[[#This Row],[EmployeeID]],Sales!$H$2:$H$501)</f>
        <v>125816</v>
      </c>
      <c r="I11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19452</v>
      </c>
    </row>
    <row r="12" spans="1:11" x14ac:dyDescent="0.25">
      <c r="A12" t="s">
        <v>39</v>
      </c>
      <c r="B12" t="s">
        <v>40</v>
      </c>
      <c r="C12" t="s">
        <v>7</v>
      </c>
      <c r="D12" t="s">
        <v>36</v>
      </c>
      <c r="E12" t="s">
        <v>41</v>
      </c>
      <c r="F12" s="29">
        <v>3750</v>
      </c>
      <c r="G12" s="29">
        <f>SUMIF(Sales!$E$2:$E$501,'Employees + Sales'!A12,Sales!$G$2:$G$501)</f>
        <v>486440</v>
      </c>
      <c r="H12" s="29">
        <f>SUMIF(Sales!$E$2:$E$501,Employee_table[[#This Row],[EmployeeID]],Sales!$H$2:$H$501)</f>
        <v>171736</v>
      </c>
      <c r="I12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10843.199999999999</v>
      </c>
    </row>
    <row r="13" spans="1:11" x14ac:dyDescent="0.25">
      <c r="A13" t="s">
        <v>42</v>
      </c>
      <c r="B13" t="s">
        <v>43</v>
      </c>
      <c r="C13" t="s">
        <v>33</v>
      </c>
      <c r="D13" t="s">
        <v>8</v>
      </c>
      <c r="E13" t="s">
        <v>9</v>
      </c>
      <c r="F13" s="29">
        <v>3300</v>
      </c>
      <c r="G13" s="29">
        <f>SUMIF(Sales!$E$2:$E$501,'Employees + Sales'!A13,Sales!$G$2:$G$501)</f>
        <v>744900</v>
      </c>
      <c r="H13" s="29">
        <f>SUMIF(Sales!$E$2:$E$501,Employee_table[[#This Row],[EmployeeID]],Sales!$H$2:$H$501)</f>
        <v>250000</v>
      </c>
      <c r="I13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33847.466666666667</v>
      </c>
    </row>
    <row r="14" spans="1:11" x14ac:dyDescent="0.25">
      <c r="A14" t="s">
        <v>44</v>
      </c>
      <c r="B14" t="s">
        <v>45</v>
      </c>
      <c r="C14" t="s">
        <v>17</v>
      </c>
      <c r="D14" t="s">
        <v>8</v>
      </c>
      <c r="E14" t="s">
        <v>30</v>
      </c>
      <c r="F14" s="29">
        <v>3000</v>
      </c>
      <c r="G14" s="29">
        <f>SUMIF(Sales!$E$2:$E$501,'Employees + Sales'!A14,Sales!$G$2:$G$501)</f>
        <v>469480</v>
      </c>
      <c r="H14" s="29">
        <f>SUMIF(Sales!$E$2:$E$501,Employee_table[[#This Row],[EmployeeID]],Sales!$H$2:$H$501)</f>
        <v>172472</v>
      </c>
      <c r="I14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9485.9600000000009</v>
      </c>
    </row>
    <row r="15" spans="1:11" x14ac:dyDescent="0.25">
      <c r="A15" t="s">
        <v>46</v>
      </c>
      <c r="B15" t="s">
        <v>47</v>
      </c>
      <c r="C15" t="s">
        <v>17</v>
      </c>
      <c r="D15" t="s">
        <v>36</v>
      </c>
      <c r="E15" t="s">
        <v>9</v>
      </c>
      <c r="F15" s="29">
        <v>3750</v>
      </c>
      <c r="G15" s="29">
        <f>SUMIF(Sales!$E$2:$E$501,'Employees + Sales'!A15,Sales!$G$2:$G$501)</f>
        <v>768380</v>
      </c>
      <c r="H15" s="29">
        <f>SUMIF(Sales!$E$2:$E$501,Employee_table[[#This Row],[EmployeeID]],Sales!$H$2:$H$501)</f>
        <v>250472</v>
      </c>
      <c r="I15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17678.399999999998</v>
      </c>
    </row>
    <row r="16" spans="1:11" x14ac:dyDescent="0.25">
      <c r="A16" t="s">
        <v>48</v>
      </c>
      <c r="B16" t="s">
        <v>49</v>
      </c>
      <c r="C16" t="s">
        <v>33</v>
      </c>
      <c r="D16" t="s">
        <v>24</v>
      </c>
      <c r="E16" t="s">
        <v>14</v>
      </c>
      <c r="F16" s="29">
        <v>3750</v>
      </c>
      <c r="G16" s="29">
        <f>SUMIF(Sales!$E$2:$E$501,'Employees + Sales'!A16,Sales!$G$2:$G$501)</f>
        <v>749840</v>
      </c>
      <c r="H16" s="29">
        <f>SUMIF(Sales!$E$2:$E$501,Employee_table[[#This Row],[EmployeeID]],Sales!$H$2:$H$501)</f>
        <v>258056</v>
      </c>
      <c r="I16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18746.800000000003</v>
      </c>
    </row>
    <row r="17" spans="1:9" x14ac:dyDescent="0.25">
      <c r="A17" t="s">
        <v>50</v>
      </c>
      <c r="B17" t="s">
        <v>51</v>
      </c>
      <c r="C17" t="s">
        <v>7</v>
      </c>
      <c r="D17" t="s">
        <v>52</v>
      </c>
      <c r="E17" t="s">
        <v>14</v>
      </c>
      <c r="F17" s="29">
        <v>3000</v>
      </c>
      <c r="G17" s="29">
        <f>SUMIF(Sales!$E$2:$E$501,'Employees + Sales'!A17,Sales!$G$2:$G$501)</f>
        <v>704500</v>
      </c>
      <c r="H17" s="29">
        <f>SUMIF(Sales!$E$2:$E$501,Employee_table[[#This Row],[EmployeeID]],Sales!$H$2:$H$501)</f>
        <v>231160</v>
      </c>
      <c r="I17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17090</v>
      </c>
    </row>
    <row r="18" spans="1:9" x14ac:dyDescent="0.25">
      <c r="A18" t="s">
        <v>53</v>
      </c>
      <c r="B18" t="s">
        <v>54</v>
      </c>
      <c r="C18" t="s">
        <v>7</v>
      </c>
      <c r="D18" t="s">
        <v>13</v>
      </c>
      <c r="E18" t="s">
        <v>21</v>
      </c>
      <c r="F18" s="29">
        <v>0</v>
      </c>
      <c r="G18" s="29">
        <f>SUMIF(Sales!$E$2:$E$501,'Employees + Sales'!A18,Sales!$G$2:$G$501)</f>
        <v>1221220</v>
      </c>
      <c r="H18" s="29">
        <f>SUMIF(Sales!$E$2:$E$501,Employee_table[[#This Row],[EmployeeID]],Sales!$H$2:$H$501)</f>
        <v>409208</v>
      </c>
      <c r="I18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61061</v>
      </c>
    </row>
    <row r="19" spans="1:9" x14ac:dyDescent="0.25">
      <c r="A19" t="s">
        <v>55</v>
      </c>
      <c r="B19" t="s">
        <v>56</v>
      </c>
      <c r="C19" t="s">
        <v>33</v>
      </c>
      <c r="D19" t="s">
        <v>57</v>
      </c>
      <c r="E19" t="s">
        <v>9</v>
      </c>
      <c r="F19" s="29">
        <v>3000</v>
      </c>
      <c r="G19" s="29">
        <f>SUMIF(Sales!$E$2:$E$501,'Employees + Sales'!A19,Sales!$G$2:$G$501)</f>
        <v>838500</v>
      </c>
      <c r="H19" s="29">
        <f>SUMIF(Sales!$E$2:$E$501,Employee_table[[#This Row],[EmployeeID]],Sales!$H$2:$H$501)</f>
        <v>268000</v>
      </c>
      <c r="I19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25155</v>
      </c>
    </row>
    <row r="20" spans="1:9" x14ac:dyDescent="0.25">
      <c r="A20" t="s">
        <v>58</v>
      </c>
      <c r="B20" t="s">
        <v>59</v>
      </c>
      <c r="C20" t="s">
        <v>12</v>
      </c>
      <c r="D20" t="s">
        <v>36</v>
      </c>
      <c r="E20" t="s">
        <v>41</v>
      </c>
      <c r="F20" s="29">
        <v>2250</v>
      </c>
      <c r="G20" s="29">
        <f>SUMIF(Sales!$E$2:$E$501,'Employees + Sales'!A20,Sales!$G$2:$G$501)</f>
        <v>1180600</v>
      </c>
      <c r="H20" s="29">
        <f>SUMIF(Sales!$E$2:$E$501,Employee_table[[#This Row],[EmployeeID]],Sales!$H$2:$H$501)</f>
        <v>378080</v>
      </c>
      <c r="I20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33168</v>
      </c>
    </row>
    <row r="21" spans="1:9" x14ac:dyDescent="0.25">
      <c r="A21" t="s">
        <v>60</v>
      </c>
      <c r="B21" t="s">
        <v>61</v>
      </c>
      <c r="C21" t="s">
        <v>33</v>
      </c>
      <c r="D21" t="s">
        <v>52</v>
      </c>
      <c r="E21" t="s">
        <v>9</v>
      </c>
      <c r="F21" s="29">
        <v>4500</v>
      </c>
      <c r="G21" s="29">
        <f>SUMIF(Sales!$E$2:$E$501,'Employees + Sales'!A21,Sales!$G$2:$G$501)</f>
        <v>1407650</v>
      </c>
      <c r="H21" s="29">
        <f>SUMIF(Sales!$E$2:$E$501,Employee_table[[#This Row],[EmployeeID]],Sales!$H$2:$H$501)</f>
        <v>469420</v>
      </c>
      <c r="I21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41164.6</v>
      </c>
    </row>
    <row r="22" spans="1:9" x14ac:dyDescent="0.25">
      <c r="A22" t="s">
        <v>62</v>
      </c>
      <c r="B22" t="s">
        <v>63</v>
      </c>
      <c r="C22" t="s">
        <v>17</v>
      </c>
      <c r="D22" t="s">
        <v>52</v>
      </c>
      <c r="E22" t="s">
        <v>14</v>
      </c>
      <c r="F22" s="29">
        <v>3750</v>
      </c>
      <c r="G22" s="29">
        <f>SUMIF(Sales!$E$2:$E$501,'Employees + Sales'!A22,Sales!$G$2:$G$501)</f>
        <v>450950</v>
      </c>
      <c r="H22" s="29">
        <f>SUMIF(Sales!$E$2:$E$501,Employee_table[[#This Row],[EmployeeID]],Sales!$H$2:$H$501)</f>
        <v>152180</v>
      </c>
      <c r="I22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12769</v>
      </c>
    </row>
    <row r="23" spans="1:9" x14ac:dyDescent="0.25">
      <c r="A23" t="s">
        <v>64</v>
      </c>
      <c r="B23" t="s">
        <v>65</v>
      </c>
      <c r="C23" t="s">
        <v>12</v>
      </c>
      <c r="D23" t="s">
        <v>13</v>
      </c>
      <c r="E23" t="s">
        <v>30</v>
      </c>
      <c r="F23" s="29">
        <v>3300</v>
      </c>
      <c r="G23" s="29">
        <f>SUMIF(Sales!$E$2:$E$501,'Employees + Sales'!A23,Sales!$G$2:$G$501)</f>
        <v>327310</v>
      </c>
      <c r="H23" s="29">
        <f>SUMIF(Sales!$E$2:$E$501,Employee_table[[#This Row],[EmployeeID]],Sales!$H$2:$H$501)</f>
        <v>125324</v>
      </c>
      <c r="I23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6892.82</v>
      </c>
    </row>
    <row r="24" spans="1:9" x14ac:dyDescent="0.25">
      <c r="A24" t="s">
        <v>66</v>
      </c>
      <c r="B24" t="s">
        <v>67</v>
      </c>
      <c r="C24" t="s">
        <v>33</v>
      </c>
      <c r="D24" t="s">
        <v>52</v>
      </c>
      <c r="E24" t="s">
        <v>9</v>
      </c>
      <c r="F24" s="29">
        <v>3750</v>
      </c>
      <c r="G24" s="29">
        <f>SUMIF(Sales!$E$2:$E$501,'Employees + Sales'!A24,Sales!$G$2:$G$501)</f>
        <v>1730380</v>
      </c>
      <c r="H24" s="29">
        <f>SUMIF(Sales!$E$2:$E$501,Employee_table[[#This Row],[EmployeeID]],Sales!$H$2:$H$501)</f>
        <v>543632</v>
      </c>
      <c r="I24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41164.6</v>
      </c>
    </row>
    <row r="25" spans="1:9" x14ac:dyDescent="0.25">
      <c r="A25" t="s">
        <v>68</v>
      </c>
      <c r="B25" t="s">
        <v>69</v>
      </c>
      <c r="C25" t="s">
        <v>12</v>
      </c>
      <c r="D25" t="s">
        <v>52</v>
      </c>
      <c r="E25" t="s">
        <v>41</v>
      </c>
      <c r="F25" s="29">
        <v>3000</v>
      </c>
      <c r="G25" s="29">
        <f>SUMIF(Sales!$E$2:$E$501,'Employees + Sales'!A25,Sales!$G$2:$G$501)</f>
        <v>856960</v>
      </c>
      <c r="H25" s="29">
        <f>SUMIF(Sales!$E$2:$E$501,Employee_table[[#This Row],[EmployeeID]],Sales!$H$2:$H$501)</f>
        <v>286384</v>
      </c>
      <c r="I25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22708.799999999999</v>
      </c>
    </row>
    <row r="26" spans="1:9" x14ac:dyDescent="0.25">
      <c r="A26" t="s">
        <v>70</v>
      </c>
      <c r="B26" t="s">
        <v>71</v>
      </c>
      <c r="C26" t="s">
        <v>12</v>
      </c>
      <c r="D26" t="s">
        <v>8</v>
      </c>
      <c r="E26" t="s">
        <v>41</v>
      </c>
      <c r="F26" s="29">
        <v>3300</v>
      </c>
      <c r="G26" s="29">
        <f>SUMIF(Sales!$E$2:$E$501,'Employees + Sales'!A26,Sales!$G$2:$G$501)</f>
        <v>90320</v>
      </c>
      <c r="H26" s="29">
        <f>SUMIF(Sales!$E$2:$E$501,Employee_table[[#This Row],[EmployeeID]],Sales!$H$2:$H$501)</f>
        <v>111328</v>
      </c>
      <c r="I26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0</v>
      </c>
    </row>
    <row r="27" spans="1:9" x14ac:dyDescent="0.25">
      <c r="A27" t="s">
        <v>72</v>
      </c>
      <c r="B27" t="s">
        <v>73</v>
      </c>
      <c r="C27" t="s">
        <v>33</v>
      </c>
      <c r="D27" t="s">
        <v>8</v>
      </c>
      <c r="E27" t="s">
        <v>14</v>
      </c>
      <c r="F27" s="29">
        <v>3750</v>
      </c>
      <c r="G27" s="29">
        <f>SUMIF(Sales!$E$2:$E$501,'Employees + Sales'!A27,Sales!$G$2:$G$501)</f>
        <v>391800</v>
      </c>
      <c r="H27" s="29">
        <f>SUMIF(Sales!$E$2:$E$501,Employee_table[[#This Row],[EmployeeID]],Sales!$H$2:$H$501)</f>
        <v>138640</v>
      </c>
      <c r="I27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11586</v>
      </c>
    </row>
    <row r="28" spans="1:9" x14ac:dyDescent="0.25">
      <c r="A28" t="s">
        <v>74</v>
      </c>
      <c r="B28" t="s">
        <v>75</v>
      </c>
      <c r="C28" t="s">
        <v>33</v>
      </c>
      <c r="D28" t="s">
        <v>13</v>
      </c>
      <c r="E28" t="s">
        <v>9</v>
      </c>
      <c r="F28" s="29">
        <v>3300</v>
      </c>
      <c r="G28" s="29">
        <f>SUMIF(Sales!$E$2:$E$501,'Employees + Sales'!A28,Sales!$G$2:$G$501)</f>
        <v>2002080</v>
      </c>
      <c r="H28" s="29">
        <f>SUMIF(Sales!$E$2:$E$501,Employee_table[[#This Row],[EmployeeID]],Sales!$H$2:$H$501)</f>
        <v>631352</v>
      </c>
      <c r="I28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58089.599999999999</v>
      </c>
    </row>
    <row r="29" spans="1:9" x14ac:dyDescent="0.25">
      <c r="A29" t="s">
        <v>76</v>
      </c>
      <c r="B29" t="s">
        <v>77</v>
      </c>
      <c r="C29" t="s">
        <v>29</v>
      </c>
      <c r="D29" t="s">
        <v>52</v>
      </c>
      <c r="E29" t="s">
        <v>30</v>
      </c>
      <c r="F29" s="29">
        <v>2250</v>
      </c>
      <c r="G29" s="29">
        <f>SUMIF(Sales!$E$2:$E$501,'Employees + Sales'!A29,Sales!$G$2:$G$501)</f>
        <v>498500</v>
      </c>
      <c r="H29" s="29">
        <f>SUMIF(Sales!$E$2:$E$501,Employee_table[[#This Row],[EmployeeID]],Sales!$H$2:$H$501)</f>
        <v>170960</v>
      </c>
      <c r="I29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9402.7999999999993</v>
      </c>
    </row>
    <row r="30" spans="1:9" x14ac:dyDescent="0.25">
      <c r="A30" t="s">
        <v>78</v>
      </c>
      <c r="B30" t="s">
        <v>79</v>
      </c>
      <c r="C30" t="s">
        <v>33</v>
      </c>
      <c r="D30" t="s">
        <v>13</v>
      </c>
      <c r="E30" t="s">
        <v>14</v>
      </c>
      <c r="F30" s="29">
        <v>3750</v>
      </c>
      <c r="G30" s="29">
        <f>SUMIF(Sales!$E$2:$E$501,'Employees + Sales'!A30,Sales!$G$2:$G$501)</f>
        <v>1235960</v>
      </c>
      <c r="H30" s="29">
        <f>SUMIF(Sales!$E$2:$E$501,Employee_table[[#This Row],[EmployeeID]],Sales!$H$2:$H$501)</f>
        <v>386744</v>
      </c>
      <c r="I30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28469.200000000001</v>
      </c>
    </row>
    <row r="31" spans="1:9" x14ac:dyDescent="0.25">
      <c r="A31" t="s">
        <v>80</v>
      </c>
      <c r="B31" t="s">
        <v>81</v>
      </c>
      <c r="C31" t="s">
        <v>17</v>
      </c>
      <c r="D31" t="s">
        <v>36</v>
      </c>
      <c r="E31" t="s">
        <v>9</v>
      </c>
      <c r="F31" s="29">
        <v>3750</v>
      </c>
      <c r="G31" s="29">
        <f>SUMIF(Sales!$E$2:$E$501,'Employees + Sales'!A31,Sales!$G$2:$G$501)</f>
        <v>730820</v>
      </c>
      <c r="H31" s="29">
        <f>SUMIF(Sales!$E$2:$E$501,Employee_table[[#This Row],[EmployeeID]],Sales!$H$2:$H$501)</f>
        <v>251408</v>
      </c>
      <c r="I31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17678.399999999998</v>
      </c>
    </row>
    <row r="32" spans="1:9" x14ac:dyDescent="0.25">
      <c r="A32" t="s">
        <v>82</v>
      </c>
      <c r="B32" t="s">
        <v>83</v>
      </c>
      <c r="C32" t="s">
        <v>29</v>
      </c>
      <c r="D32" t="s">
        <v>24</v>
      </c>
      <c r="E32" t="s">
        <v>30</v>
      </c>
      <c r="F32" s="29">
        <v>3000</v>
      </c>
      <c r="G32" s="29">
        <f>SUMIF(Sales!$E$2:$E$501,'Employees + Sales'!A32,Sales!$G$2:$G$501)</f>
        <v>380510</v>
      </c>
      <c r="H32" s="29">
        <f>SUMIF(Sales!$E$2:$E$501,Employee_table[[#This Row],[EmployeeID]],Sales!$H$2:$H$501)</f>
        <v>135804</v>
      </c>
      <c r="I32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7469.22</v>
      </c>
    </row>
    <row r="33" spans="1:9" x14ac:dyDescent="0.25">
      <c r="A33" t="s">
        <v>84</v>
      </c>
      <c r="B33" t="s">
        <v>85</v>
      </c>
      <c r="C33" t="s">
        <v>12</v>
      </c>
      <c r="D33" t="s">
        <v>13</v>
      </c>
      <c r="E33" t="s">
        <v>18</v>
      </c>
      <c r="F33" s="29">
        <v>3300</v>
      </c>
      <c r="G33" s="29">
        <f>SUMIF(Sales!$E$2:$E$501,'Employees + Sales'!A33,Sales!$G$2:$G$501)</f>
        <v>865410</v>
      </c>
      <c r="H33" s="29">
        <f>SUMIF(Sales!$E$2:$E$501,Employee_table[[#This Row],[EmployeeID]],Sales!$H$2:$H$501)</f>
        <v>272164</v>
      </c>
      <c r="I33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43270.5</v>
      </c>
    </row>
    <row r="34" spans="1:9" x14ac:dyDescent="0.25">
      <c r="A34" t="s">
        <v>86</v>
      </c>
      <c r="B34" t="s">
        <v>87</v>
      </c>
      <c r="C34" t="s">
        <v>7</v>
      </c>
      <c r="D34" t="s">
        <v>8</v>
      </c>
      <c r="E34" t="s">
        <v>21</v>
      </c>
      <c r="F34" s="29">
        <v>0</v>
      </c>
      <c r="G34" s="29">
        <f>SUMIF(Sales!$E$2:$E$501,'Employees + Sales'!A34,Sales!$G$2:$G$501)</f>
        <v>714200</v>
      </c>
      <c r="H34" s="29">
        <f>SUMIF(Sales!$E$2:$E$501,Employee_table[[#This Row],[EmployeeID]],Sales!$H$2:$H$501)</f>
        <v>248960</v>
      </c>
      <c r="I34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35710</v>
      </c>
    </row>
    <row r="35" spans="1:9" x14ac:dyDescent="0.25">
      <c r="A35" t="s">
        <v>88</v>
      </c>
      <c r="B35" t="s">
        <v>89</v>
      </c>
      <c r="C35" t="s">
        <v>12</v>
      </c>
      <c r="D35" t="s">
        <v>52</v>
      </c>
      <c r="E35" t="s">
        <v>30</v>
      </c>
      <c r="F35" s="29">
        <v>3750</v>
      </c>
      <c r="G35" s="29">
        <f>SUMIF(Sales!$E$2:$E$501,'Employees + Sales'!A35,Sales!$G$2:$G$501)</f>
        <v>714570</v>
      </c>
      <c r="H35" s="29">
        <f>SUMIF(Sales!$E$2:$E$501,Employee_table[[#This Row],[EmployeeID]],Sales!$H$2:$H$501)</f>
        <v>244428</v>
      </c>
      <c r="I35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13443.54</v>
      </c>
    </row>
    <row r="36" spans="1:9" x14ac:dyDescent="0.25">
      <c r="A36" t="s">
        <v>90</v>
      </c>
      <c r="B36" t="s">
        <v>91</v>
      </c>
      <c r="C36" t="s">
        <v>7</v>
      </c>
      <c r="D36" t="s">
        <v>57</v>
      </c>
      <c r="E36" t="s">
        <v>30</v>
      </c>
      <c r="F36" s="29">
        <v>3750</v>
      </c>
      <c r="G36" s="29">
        <f>SUMIF(Sales!$E$2:$E$501,'Employees + Sales'!A36,Sales!$G$2:$G$501)</f>
        <v>514720</v>
      </c>
      <c r="H36" s="29">
        <f>SUMIF(Sales!$E$2:$E$501,Employee_table[[#This Row],[EmployeeID]],Sales!$H$2:$H$501)</f>
        <v>181808</v>
      </c>
      <c r="I36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9999.44</v>
      </c>
    </row>
    <row r="37" spans="1:9" x14ac:dyDescent="0.25">
      <c r="A37" t="s">
        <v>92</v>
      </c>
      <c r="B37" t="s">
        <v>93</v>
      </c>
      <c r="C37" t="s">
        <v>29</v>
      </c>
      <c r="D37" t="s">
        <v>24</v>
      </c>
      <c r="E37" t="s">
        <v>41</v>
      </c>
      <c r="F37" s="29">
        <v>3750</v>
      </c>
      <c r="G37" s="29">
        <f>SUMIF(Sales!$E$2:$E$501,'Employees + Sales'!A37,Sales!$G$2:$G$501)</f>
        <v>873150</v>
      </c>
      <c r="H37" s="29">
        <f>SUMIF(Sales!$E$2:$E$501,Employee_table[[#This Row],[EmployeeID]],Sales!$H$2:$H$501)</f>
        <v>296740</v>
      </c>
      <c r="I37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22444.5</v>
      </c>
    </row>
    <row r="38" spans="1:9" x14ac:dyDescent="0.25">
      <c r="A38" t="s">
        <v>94</v>
      </c>
      <c r="B38" t="s">
        <v>95</v>
      </c>
      <c r="C38" t="s">
        <v>7</v>
      </c>
      <c r="D38" t="s">
        <v>52</v>
      </c>
      <c r="E38" t="s">
        <v>9</v>
      </c>
      <c r="F38" s="29">
        <v>3750</v>
      </c>
      <c r="G38" s="29">
        <f>SUMIF(Sales!$E$2:$E$501,'Employees + Sales'!A38,Sales!$G$2:$G$501)</f>
        <v>978430</v>
      </c>
      <c r="H38" s="29">
        <f>SUMIF(Sales!$E$2:$E$501,Employee_table[[#This Row],[EmployeeID]],Sales!$H$2:$H$501)</f>
        <v>321612</v>
      </c>
      <c r="I38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41164.6</v>
      </c>
    </row>
    <row r="39" spans="1:9" x14ac:dyDescent="0.25">
      <c r="A39" t="s">
        <v>96</v>
      </c>
      <c r="B39" t="s">
        <v>97</v>
      </c>
      <c r="C39" t="s">
        <v>17</v>
      </c>
      <c r="D39" t="s">
        <v>36</v>
      </c>
      <c r="E39" t="s">
        <v>9</v>
      </c>
      <c r="F39" s="29">
        <v>3000</v>
      </c>
      <c r="G39" s="29">
        <f>SUMIF(Sales!$E$2:$E$501,'Employees + Sales'!A39,Sales!$G$2:$G$501)</f>
        <v>268640</v>
      </c>
      <c r="H39" s="29">
        <f>SUMIF(Sales!$E$2:$E$501,Employee_table[[#This Row],[EmployeeID]],Sales!$H$2:$H$501)</f>
        <v>89256</v>
      </c>
      <c r="I39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17678.399999999998</v>
      </c>
    </row>
    <row r="40" spans="1:9" x14ac:dyDescent="0.25">
      <c r="A40" t="s">
        <v>98</v>
      </c>
      <c r="B40" t="s">
        <v>99</v>
      </c>
      <c r="C40" t="s">
        <v>7</v>
      </c>
      <c r="D40" t="s">
        <v>36</v>
      </c>
      <c r="E40" t="s">
        <v>30</v>
      </c>
      <c r="F40" s="29">
        <v>2250</v>
      </c>
      <c r="G40" s="29">
        <f>SUMIF(Sales!$E$2:$E$501,'Employees + Sales'!A40,Sales!$G$2:$G$501)</f>
        <v>945750</v>
      </c>
      <c r="H40" s="29">
        <f>SUMIF(Sales!$E$2:$E$501,Employee_table[[#This Row],[EmployeeID]],Sales!$H$2:$H$501)</f>
        <v>303380</v>
      </c>
      <c r="I40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16685.900000000001</v>
      </c>
    </row>
    <row r="41" spans="1:9" x14ac:dyDescent="0.25">
      <c r="A41" t="s">
        <v>100</v>
      </c>
      <c r="B41" t="s">
        <v>101</v>
      </c>
      <c r="C41" t="s">
        <v>29</v>
      </c>
      <c r="D41" t="s">
        <v>8</v>
      </c>
      <c r="E41" t="s">
        <v>9</v>
      </c>
      <c r="F41" s="29">
        <v>3000</v>
      </c>
      <c r="G41" s="29">
        <f>SUMIF(Sales!$E$2:$E$501,'Employees + Sales'!A41,Sales!$G$2:$G$501)</f>
        <v>1330040</v>
      </c>
      <c r="H41" s="29">
        <f>SUMIF(Sales!$E$2:$E$501,Employee_table[[#This Row],[EmployeeID]],Sales!$H$2:$H$501)</f>
        <v>452416</v>
      </c>
      <c r="I41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33847.466666666667</v>
      </c>
    </row>
    <row r="42" spans="1:9" x14ac:dyDescent="0.25">
      <c r="A42" t="s">
        <v>102</v>
      </c>
      <c r="B42" t="s">
        <v>103</v>
      </c>
      <c r="C42" t="s">
        <v>17</v>
      </c>
      <c r="D42" t="s">
        <v>13</v>
      </c>
      <c r="E42" t="s">
        <v>18</v>
      </c>
      <c r="F42" s="29">
        <v>3750</v>
      </c>
      <c r="G42" s="29">
        <f>SUMIF(Sales!$E$2:$E$501,'Employees + Sales'!A42,Sales!$G$2:$G$501)</f>
        <v>997600</v>
      </c>
      <c r="H42" s="29">
        <f>SUMIF(Sales!$E$2:$E$501,Employee_table[[#This Row],[EmployeeID]],Sales!$H$2:$H$501)</f>
        <v>320200</v>
      </c>
      <c r="I42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49880</v>
      </c>
    </row>
    <row r="43" spans="1:9" x14ac:dyDescent="0.25">
      <c r="A43" t="s">
        <v>104</v>
      </c>
      <c r="B43" t="s">
        <v>105</v>
      </c>
      <c r="C43" t="s">
        <v>33</v>
      </c>
      <c r="D43" t="s">
        <v>52</v>
      </c>
      <c r="E43" t="s">
        <v>18</v>
      </c>
      <c r="F43" s="29">
        <v>3750</v>
      </c>
      <c r="G43" s="29">
        <f>SUMIF(Sales!$E$2:$E$501,'Employees + Sales'!A43,Sales!$G$2:$G$501)</f>
        <v>1013810</v>
      </c>
      <c r="H43" s="29">
        <f>SUMIF(Sales!$E$2:$E$501,Employee_table[[#This Row],[EmployeeID]],Sales!$H$2:$H$501)</f>
        <v>329004</v>
      </c>
      <c r="I43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50690.5</v>
      </c>
    </row>
    <row r="44" spans="1:9" x14ac:dyDescent="0.25">
      <c r="A44" t="s">
        <v>106</v>
      </c>
      <c r="B44" t="s">
        <v>107</v>
      </c>
      <c r="C44" t="s">
        <v>12</v>
      </c>
      <c r="D44" t="s">
        <v>13</v>
      </c>
      <c r="E44" t="s">
        <v>41</v>
      </c>
      <c r="F44" s="29">
        <v>2250</v>
      </c>
      <c r="G44" s="29">
        <f>SUMIF(Sales!$E$2:$E$501,'Employees + Sales'!A44,Sales!$G$2:$G$501)</f>
        <v>926860</v>
      </c>
      <c r="H44" s="29">
        <f>SUMIF(Sales!$E$2:$E$501,Employee_table[[#This Row],[EmployeeID]],Sales!$H$2:$H$501)</f>
        <v>304744</v>
      </c>
      <c r="I44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25555.8</v>
      </c>
    </row>
    <row r="45" spans="1:9" x14ac:dyDescent="0.25">
      <c r="A45" t="s">
        <v>108</v>
      </c>
      <c r="B45" t="s">
        <v>109</v>
      </c>
      <c r="C45" t="s">
        <v>17</v>
      </c>
      <c r="D45" t="s">
        <v>24</v>
      </c>
      <c r="E45" t="s">
        <v>21</v>
      </c>
      <c r="F45" s="29">
        <v>0</v>
      </c>
      <c r="G45" s="29">
        <f>SUMIF(Sales!$E$2:$E$501,'Employees + Sales'!A45,Sales!$G$2:$G$501)</f>
        <v>238000</v>
      </c>
      <c r="H45" s="29">
        <f>SUMIF(Sales!$E$2:$E$501,Employee_table[[#This Row],[EmployeeID]],Sales!$H$2:$H$501)</f>
        <v>95200</v>
      </c>
      <c r="I45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11900</v>
      </c>
    </row>
    <row r="46" spans="1:9" x14ac:dyDescent="0.25">
      <c r="A46" t="s">
        <v>110</v>
      </c>
      <c r="B46" t="s">
        <v>111</v>
      </c>
      <c r="C46" t="s">
        <v>33</v>
      </c>
      <c r="D46" t="s">
        <v>57</v>
      </c>
      <c r="E46" t="s">
        <v>21</v>
      </c>
      <c r="F46" s="29">
        <v>0</v>
      </c>
      <c r="G46" s="29">
        <f>SUMIF(Sales!$E$2:$E$501,'Employees + Sales'!A46,Sales!$G$2:$G$501)</f>
        <v>492880</v>
      </c>
      <c r="H46" s="29">
        <f>SUMIF(Sales!$E$2:$E$501,Employee_table[[#This Row],[EmployeeID]],Sales!$H$2:$H$501)</f>
        <v>151352</v>
      </c>
      <c r="I46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24644</v>
      </c>
    </row>
    <row r="47" spans="1:9" x14ac:dyDescent="0.25">
      <c r="A47" t="s">
        <v>112</v>
      </c>
      <c r="B47" t="s">
        <v>113</v>
      </c>
      <c r="C47" t="s">
        <v>33</v>
      </c>
      <c r="D47" t="s">
        <v>36</v>
      </c>
      <c r="E47" t="s">
        <v>14</v>
      </c>
      <c r="F47" s="29">
        <v>3000</v>
      </c>
      <c r="G47" s="29">
        <f>SUMIF(Sales!$E$2:$E$501,'Employees + Sales'!A47,Sales!$G$2:$G$501)</f>
        <v>131270</v>
      </c>
      <c r="H47" s="29">
        <f>SUMIF(Sales!$E$2:$E$501,Employee_table[[#This Row],[EmployeeID]],Sales!$H$2:$H$501)</f>
        <v>52508</v>
      </c>
      <c r="I47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5625.4</v>
      </c>
    </row>
    <row r="48" spans="1:9" x14ac:dyDescent="0.25">
      <c r="A48" t="s">
        <v>114</v>
      </c>
      <c r="B48" t="s">
        <v>115</v>
      </c>
      <c r="C48" t="s">
        <v>12</v>
      </c>
      <c r="D48" t="s">
        <v>24</v>
      </c>
      <c r="E48" t="s">
        <v>21</v>
      </c>
      <c r="F48" s="29">
        <v>0</v>
      </c>
      <c r="G48" s="29">
        <f>SUMIF(Sales!$E$2:$E$501,'Employees + Sales'!A48,Sales!$G$2:$G$501)</f>
        <v>702940</v>
      </c>
      <c r="H48" s="29">
        <f>SUMIF(Sales!$E$2:$E$501,Employee_table[[#This Row],[EmployeeID]],Sales!$H$2:$H$501)</f>
        <v>230776</v>
      </c>
      <c r="I48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35147</v>
      </c>
    </row>
    <row r="49" spans="1:9" x14ac:dyDescent="0.25">
      <c r="A49" t="s">
        <v>116</v>
      </c>
      <c r="B49" t="s">
        <v>117</v>
      </c>
      <c r="C49" t="s">
        <v>29</v>
      </c>
      <c r="D49" t="s">
        <v>8</v>
      </c>
      <c r="E49" t="s">
        <v>18</v>
      </c>
      <c r="F49" s="29">
        <v>2250</v>
      </c>
      <c r="G49" s="29">
        <f>SUMIF(Sales!$E$2:$E$501,'Employees + Sales'!A49,Sales!$G$2:$G$501)</f>
        <v>407580</v>
      </c>
      <c r="H49" s="29">
        <f>SUMIF(Sales!$E$2:$E$501,Employee_table[[#This Row],[EmployeeID]],Sales!$H$2:$H$501)</f>
        <v>147432</v>
      </c>
      <c r="I49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12227.4</v>
      </c>
    </row>
    <row r="50" spans="1:9" x14ac:dyDescent="0.25">
      <c r="A50" t="s">
        <v>118</v>
      </c>
      <c r="B50" t="s">
        <v>119</v>
      </c>
      <c r="C50" t="s">
        <v>12</v>
      </c>
      <c r="D50" t="s">
        <v>52</v>
      </c>
      <c r="E50" t="s">
        <v>30</v>
      </c>
      <c r="F50" s="29">
        <v>3750</v>
      </c>
      <c r="G50" s="29">
        <f>SUMIF(Sales!$E$2:$E$501,'Employees + Sales'!A50,Sales!$G$2:$G$501)</f>
        <v>711580</v>
      </c>
      <c r="H50" s="29">
        <f>SUMIF(Sales!$E$2:$E$501,Employee_table[[#This Row],[EmployeeID]],Sales!$H$2:$H$501)</f>
        <v>231432</v>
      </c>
      <c r="I50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12728.76</v>
      </c>
    </row>
    <row r="51" spans="1:9" x14ac:dyDescent="0.25">
      <c r="A51" t="s">
        <v>120</v>
      </c>
      <c r="B51" t="s">
        <v>121</v>
      </c>
      <c r="C51" t="s">
        <v>12</v>
      </c>
      <c r="D51" t="s">
        <v>36</v>
      </c>
      <c r="E51" t="s">
        <v>18</v>
      </c>
      <c r="F51" s="29">
        <v>3750</v>
      </c>
      <c r="G51" s="29">
        <f>SUMIF(Sales!$E$2:$E$501,'Employees + Sales'!A51,Sales!$G$2:$G$501)</f>
        <v>1056700</v>
      </c>
      <c r="H51" s="29">
        <f>SUMIF(Sales!$E$2:$E$501,Employee_table[[#This Row],[EmployeeID]],Sales!$H$2:$H$501)</f>
        <v>334880</v>
      </c>
      <c r="I51" s="29">
        <f>IFERROR(VLOOKUP(Employee_table[[#This Row],[EmployeeID]],'Base Rates Only '!$D$8:$G$14,4,FALSE),IFERROR(VLOOKUP(Employee_table[[#This Row],[EmployeeID]],'Base Salary + commission'!$E$8:$I$16,5,FALSE),IFERROR(VLOOKUP(Employee_table[[#This Row],[EmployeeID]],'Draw Against'!$E$8:$K$13,7,FALSE),IFERROR(VLOOKUP(Employee_table[[#This Row],[EmployeeID]],'Gross Margin'!$E$8:$I$16,5,FALSE),IFERROR(VLOOKUP(Employee_table[[#This Row],[EmployeeID]],'Tiered Commission'!$E$7:$H$13,4,FALSE),IFERROR(VLOOKUP(Employee_table[[#This Row],[EmployeeID]],'Tertiary Volume'!$E$8:$H$19,4,FALSE),"No"))))))</f>
        <v>52835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6564-D85C-4E4B-8A9A-FFA7C8FFC635}">
  <dimension ref="A1:G14"/>
  <sheetViews>
    <sheetView showGridLines="0" zoomScale="119" workbookViewId="0">
      <selection activeCell="B2" sqref="B2:C3"/>
    </sheetView>
  </sheetViews>
  <sheetFormatPr defaultRowHeight="15" x14ac:dyDescent="0.25"/>
  <cols>
    <col min="1" max="1" width="3" customWidth="1"/>
    <col min="2" max="2" width="17.85546875" customWidth="1"/>
    <col min="3" max="3" width="15.42578125" bestFit="1" customWidth="1"/>
    <col min="4" max="4" width="13.85546875" bestFit="1" customWidth="1"/>
    <col min="5" max="5" width="12.85546875" customWidth="1"/>
    <col min="6" max="6" width="16.42578125" bestFit="1" customWidth="1"/>
    <col min="7" max="7" width="13.140625" customWidth="1"/>
    <col min="8" max="8" width="12.5703125" bestFit="1" customWidth="1"/>
    <col min="10" max="10" width="11" bestFit="1" customWidth="1"/>
  </cols>
  <sheetData>
    <row r="1" spans="1:7" x14ac:dyDescent="0.25">
      <c r="A1" s="5"/>
      <c r="B1" s="5"/>
      <c r="C1" s="5"/>
      <c r="D1" s="5"/>
    </row>
    <row r="2" spans="1:7" ht="15.75" x14ac:dyDescent="0.25">
      <c r="A2" s="8"/>
      <c r="B2" s="11" t="s">
        <v>728</v>
      </c>
      <c r="C2" s="12" t="s">
        <v>21</v>
      </c>
    </row>
    <row r="3" spans="1:7" ht="15.75" x14ac:dyDescent="0.25">
      <c r="A3" s="8"/>
      <c r="B3" s="11" t="s">
        <v>725</v>
      </c>
      <c r="C3" s="13">
        <v>0.05</v>
      </c>
    </row>
    <row r="6" spans="1:7" ht="24.75" customHeight="1" x14ac:dyDescent="0.25">
      <c r="D6" s="8"/>
      <c r="E6" s="8"/>
      <c r="F6" s="8"/>
      <c r="G6" s="8"/>
    </row>
    <row r="7" spans="1:7" ht="33" customHeight="1" x14ac:dyDescent="0.25">
      <c r="D7" s="15" t="s">
        <v>726</v>
      </c>
      <c r="E7" s="14" t="s">
        <v>729</v>
      </c>
      <c r="F7" s="14" t="s">
        <v>733</v>
      </c>
      <c r="G7" s="14" t="s">
        <v>730</v>
      </c>
    </row>
    <row r="8" spans="1:7" ht="15.75" x14ac:dyDescent="0.25">
      <c r="D8" s="9" t="str" cm="1">
        <f t="array" ref="D8:D14">_xlfn._xlws.FILTER(Employee_table[EmployeeID],Employee_table[CommissionPlan]='Base Rates Only '!$C$2)</f>
        <v>E004</v>
      </c>
      <c r="E8" s="10">
        <f>$C$3</f>
        <v>0.05</v>
      </c>
      <c r="F8" s="20">
        <f>_xlfn.XLOOKUP(D8,Employee_table[EmployeeID],Employee_table[Total Sales],0,0)</f>
        <v>204540</v>
      </c>
      <c r="G8" s="20">
        <f>F8*E8</f>
        <v>10227</v>
      </c>
    </row>
    <row r="9" spans="1:7" ht="15.75" x14ac:dyDescent="0.25">
      <c r="D9" s="9" t="str">
        <v>E010</v>
      </c>
      <c r="E9" s="10">
        <f t="shared" ref="E9:E14" si="0">$C$3</f>
        <v>0.05</v>
      </c>
      <c r="F9" s="20">
        <f>_xlfn.XLOOKUP(D9,Employee_table[EmployeeID],Employee_table[Total Sales],0,0)</f>
        <v>389040</v>
      </c>
      <c r="G9" s="20">
        <f t="shared" ref="G9:G14" si="1">F9*E9</f>
        <v>19452</v>
      </c>
    </row>
    <row r="10" spans="1:7" ht="15.75" x14ac:dyDescent="0.25">
      <c r="D10" s="9" t="str">
        <v>E017</v>
      </c>
      <c r="E10" s="10">
        <f t="shared" si="0"/>
        <v>0.05</v>
      </c>
      <c r="F10" s="20">
        <f>_xlfn.XLOOKUP(D10,Employee_table[EmployeeID],Employee_table[Total Sales],0,0)</f>
        <v>1221220</v>
      </c>
      <c r="G10" s="20">
        <f t="shared" si="1"/>
        <v>61061</v>
      </c>
    </row>
    <row r="11" spans="1:7" ht="15.75" x14ac:dyDescent="0.25">
      <c r="D11" s="9" t="str">
        <v>E033</v>
      </c>
      <c r="E11" s="10">
        <f t="shared" si="0"/>
        <v>0.05</v>
      </c>
      <c r="F11" s="20">
        <f>_xlfn.XLOOKUP(D11,Employee_table[EmployeeID],Employee_table[Total Sales],0,0)</f>
        <v>714200</v>
      </c>
      <c r="G11" s="20">
        <f t="shared" si="1"/>
        <v>35710</v>
      </c>
    </row>
    <row r="12" spans="1:7" ht="15.75" x14ac:dyDescent="0.25">
      <c r="D12" s="9" t="str">
        <v>E044</v>
      </c>
      <c r="E12" s="10">
        <f t="shared" si="0"/>
        <v>0.05</v>
      </c>
      <c r="F12" s="20">
        <f>_xlfn.XLOOKUP(D12,Employee_table[EmployeeID],Employee_table[Total Sales],0,0)</f>
        <v>238000</v>
      </c>
      <c r="G12" s="20">
        <f t="shared" si="1"/>
        <v>11900</v>
      </c>
    </row>
    <row r="13" spans="1:7" ht="15.75" x14ac:dyDescent="0.25">
      <c r="D13" s="9" t="str">
        <v>E045</v>
      </c>
      <c r="E13" s="10">
        <f t="shared" si="0"/>
        <v>0.05</v>
      </c>
      <c r="F13" s="20">
        <f>_xlfn.XLOOKUP(D13,Employee_table[EmployeeID],Employee_table[Total Sales],0,0)</f>
        <v>492880</v>
      </c>
      <c r="G13" s="20">
        <f t="shared" si="1"/>
        <v>24644</v>
      </c>
    </row>
    <row r="14" spans="1:7" ht="15.75" x14ac:dyDescent="0.25">
      <c r="D14" s="9" t="str">
        <v>E047</v>
      </c>
      <c r="E14" s="10">
        <f t="shared" si="0"/>
        <v>0.05</v>
      </c>
      <c r="F14" s="20">
        <f>_xlfn.XLOOKUP(D14,Employee_table[EmployeeID],Employee_table[Total Sales],0,0)</f>
        <v>702940</v>
      </c>
      <c r="G14" s="20">
        <f t="shared" si="1"/>
        <v>35147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90F7-2889-4807-B4C0-CD0B78540C92}">
  <dimension ref="A1:I16"/>
  <sheetViews>
    <sheetView showGridLines="0" zoomScale="128" workbookViewId="0">
      <selection activeCell="B2" sqref="B2:C3"/>
    </sheetView>
  </sheetViews>
  <sheetFormatPr defaultRowHeight="15" x14ac:dyDescent="0.25"/>
  <cols>
    <col min="1" max="1" width="2.85546875" customWidth="1"/>
    <col min="2" max="2" width="17.5703125" customWidth="1"/>
    <col min="3" max="3" width="26.42578125" bestFit="1" customWidth="1"/>
    <col min="4" max="4" width="3.140625" customWidth="1"/>
    <col min="5" max="5" width="13.85546875" bestFit="1" customWidth="1"/>
    <col min="6" max="6" width="13.85546875" customWidth="1"/>
    <col min="7" max="7" width="15.7109375" bestFit="1" customWidth="1"/>
    <col min="8" max="8" width="12.85546875" customWidth="1"/>
    <col min="9" max="9" width="13.140625" customWidth="1"/>
    <col min="10" max="10" width="12.5703125" bestFit="1" customWidth="1"/>
    <col min="12" max="12" width="11" bestFit="1" customWidth="1"/>
  </cols>
  <sheetData>
    <row r="1" spans="1:9" x14ac:dyDescent="0.25">
      <c r="A1" s="5"/>
      <c r="B1" s="5"/>
      <c r="C1" s="5"/>
      <c r="D1" s="5"/>
      <c r="E1" s="5"/>
      <c r="F1" s="5"/>
    </row>
    <row r="2" spans="1:9" ht="15.75" x14ac:dyDescent="0.25">
      <c r="A2" s="8"/>
      <c r="B2" s="11" t="s">
        <v>728</v>
      </c>
      <c r="C2" s="12" t="s">
        <v>14</v>
      </c>
      <c r="D2" s="16"/>
    </row>
    <row r="3" spans="1:9" ht="15.75" x14ac:dyDescent="0.25">
      <c r="A3" s="8"/>
      <c r="B3" s="11" t="s">
        <v>725</v>
      </c>
      <c r="C3" s="13">
        <v>0.02</v>
      </c>
      <c r="D3" s="17"/>
    </row>
    <row r="6" spans="1:9" ht="24.75" customHeight="1" x14ac:dyDescent="0.25">
      <c r="E6" s="8"/>
      <c r="F6" s="8"/>
      <c r="G6" s="8"/>
      <c r="H6" s="8"/>
      <c r="I6" s="8"/>
    </row>
    <row r="7" spans="1:9" ht="33" customHeight="1" x14ac:dyDescent="0.25">
      <c r="E7" s="15" t="s">
        <v>726</v>
      </c>
      <c r="F7" s="14" t="s">
        <v>732</v>
      </c>
      <c r="G7" s="14" t="s">
        <v>733</v>
      </c>
      <c r="H7" s="14" t="s">
        <v>729</v>
      </c>
      <c r="I7" s="14" t="s">
        <v>734</v>
      </c>
    </row>
    <row r="8" spans="1:9" ht="15.75" x14ac:dyDescent="0.25">
      <c r="E8" s="9" t="str" cm="1">
        <f t="array" ref="E8:E16">_xlfn._xlws.FILTER(Employee_table[EmployeeID],Employee_table[CommissionPlan]='Base Salary + commission'!$C$2)</f>
        <v>E002</v>
      </c>
      <c r="F8" s="9">
        <f>VLOOKUP(E8,Employee_table[],6,FALSE)</f>
        <v>2250</v>
      </c>
      <c r="G8" s="20">
        <f>VLOOKUP(E8,Employee_table[],7,FALSE)</f>
        <v>277010</v>
      </c>
      <c r="H8" s="10">
        <f>$C$3</f>
        <v>0.02</v>
      </c>
      <c r="I8" s="19">
        <f>F8+H8*G8</f>
        <v>7790.2</v>
      </c>
    </row>
    <row r="9" spans="1:9" ht="15.75" x14ac:dyDescent="0.25">
      <c r="E9" s="9" t="str">
        <v>E008</v>
      </c>
      <c r="F9" s="9">
        <f>VLOOKUP(E9,Employee_table[],6,FALSE)</f>
        <v>3300</v>
      </c>
      <c r="G9" s="20">
        <f>VLOOKUP(E9,Employee_table[],7,FALSE)</f>
        <v>132880</v>
      </c>
      <c r="H9" s="10">
        <f t="shared" ref="H9:H16" si="0">$C$3</f>
        <v>0.02</v>
      </c>
      <c r="I9" s="19">
        <f t="shared" ref="I9:I16" si="1">F9+H9*G9</f>
        <v>5957.6</v>
      </c>
    </row>
    <row r="10" spans="1:9" ht="15.75" x14ac:dyDescent="0.25">
      <c r="E10" s="9" t="str">
        <v>E009</v>
      </c>
      <c r="F10" s="9">
        <f>VLOOKUP(E10,Employee_table[],6,FALSE)</f>
        <v>2250</v>
      </c>
      <c r="G10" s="20">
        <f>VLOOKUP(E10,Employee_table[],7,FALSE)</f>
        <v>1056570</v>
      </c>
      <c r="H10" s="10">
        <f t="shared" si="0"/>
        <v>0.02</v>
      </c>
      <c r="I10" s="19">
        <f t="shared" si="1"/>
        <v>23381.4</v>
      </c>
    </row>
    <row r="11" spans="1:9" ht="15.75" x14ac:dyDescent="0.25">
      <c r="E11" s="9" t="str">
        <v>E015</v>
      </c>
      <c r="F11" s="9">
        <f>VLOOKUP(E11,Employee_table[],6,FALSE)</f>
        <v>3750</v>
      </c>
      <c r="G11" s="20">
        <f>VLOOKUP(E11,Employee_table[],7,FALSE)</f>
        <v>749840</v>
      </c>
      <c r="H11" s="10">
        <f t="shared" si="0"/>
        <v>0.02</v>
      </c>
      <c r="I11" s="19">
        <f t="shared" si="1"/>
        <v>18746.800000000003</v>
      </c>
    </row>
    <row r="12" spans="1:9" ht="15.75" x14ac:dyDescent="0.25">
      <c r="E12" s="9" t="str">
        <v>E016</v>
      </c>
      <c r="F12" s="9">
        <f>VLOOKUP(E12,Employee_table[],6,FALSE)</f>
        <v>3000</v>
      </c>
      <c r="G12" s="20">
        <f>VLOOKUP(E12,Employee_table[],7,FALSE)</f>
        <v>704500</v>
      </c>
      <c r="H12" s="10">
        <f t="shared" si="0"/>
        <v>0.02</v>
      </c>
      <c r="I12" s="19">
        <f t="shared" si="1"/>
        <v>17090</v>
      </c>
    </row>
    <row r="13" spans="1:9" ht="15.75" x14ac:dyDescent="0.25">
      <c r="E13" s="9" t="str">
        <v>E021</v>
      </c>
      <c r="F13" s="9">
        <f>VLOOKUP(E13,Employee_table[],6,FALSE)</f>
        <v>3750</v>
      </c>
      <c r="G13" s="20">
        <f>VLOOKUP(E13,Employee_table[],7,FALSE)</f>
        <v>450950</v>
      </c>
      <c r="H13" s="10">
        <f t="shared" si="0"/>
        <v>0.02</v>
      </c>
      <c r="I13" s="19">
        <f t="shared" si="1"/>
        <v>12769</v>
      </c>
    </row>
    <row r="14" spans="1:9" ht="15.75" x14ac:dyDescent="0.25">
      <c r="E14" s="9" t="str">
        <v>E026</v>
      </c>
      <c r="F14" s="9">
        <f>VLOOKUP(E14,Employee_table[],6,FALSE)</f>
        <v>3750</v>
      </c>
      <c r="G14" s="20">
        <f>VLOOKUP(E14,Employee_table[],7,FALSE)</f>
        <v>391800</v>
      </c>
      <c r="H14" s="10">
        <f t="shared" si="0"/>
        <v>0.02</v>
      </c>
      <c r="I14" s="19">
        <f t="shared" si="1"/>
        <v>11586</v>
      </c>
    </row>
    <row r="15" spans="1:9" ht="15.75" x14ac:dyDescent="0.25">
      <c r="E15" s="18" t="str">
        <v>E029</v>
      </c>
      <c r="F15" s="9">
        <f>VLOOKUP(E15,Employee_table[],6,FALSE)</f>
        <v>3750</v>
      </c>
      <c r="G15" s="20">
        <f>VLOOKUP(E15,Employee_table[],7,FALSE)</f>
        <v>1235960</v>
      </c>
      <c r="H15" s="10">
        <f t="shared" si="0"/>
        <v>0.02</v>
      </c>
      <c r="I15" s="19">
        <f t="shared" si="1"/>
        <v>28469.200000000001</v>
      </c>
    </row>
    <row r="16" spans="1:9" ht="15.75" x14ac:dyDescent="0.25">
      <c r="E16" s="18" t="str">
        <v>E046</v>
      </c>
      <c r="F16" s="9">
        <f>VLOOKUP(E16,Employee_table[],6,FALSE)</f>
        <v>3000</v>
      </c>
      <c r="G16" s="20">
        <f>VLOOKUP(E16,Employee_table[],7,FALSE)</f>
        <v>131270</v>
      </c>
      <c r="H16" s="10">
        <f t="shared" si="0"/>
        <v>0.02</v>
      </c>
      <c r="I16" s="19">
        <f t="shared" si="1"/>
        <v>5625.4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0E96-752D-4D07-BCAB-87ADE727F3FA}">
  <dimension ref="A1:K13"/>
  <sheetViews>
    <sheetView showGridLines="0" zoomScale="120" workbookViewId="0">
      <selection activeCell="B2" sqref="B2:C3"/>
    </sheetView>
  </sheetViews>
  <sheetFormatPr defaultRowHeight="15" x14ac:dyDescent="0.25"/>
  <cols>
    <col min="1" max="1" width="3" customWidth="1"/>
    <col min="2" max="2" width="18.42578125" customWidth="1"/>
    <col min="3" max="3" width="26.42578125" bestFit="1" customWidth="1"/>
    <col min="4" max="4" width="5.7109375" customWidth="1"/>
    <col min="5" max="5" width="13.85546875" bestFit="1" customWidth="1"/>
    <col min="6" max="6" width="16.28515625" bestFit="1" customWidth="1"/>
    <col min="7" max="8" width="12.85546875" customWidth="1"/>
    <col min="9" max="10" width="13.85546875" customWidth="1"/>
    <col min="11" max="11" width="13.140625" customWidth="1"/>
    <col min="12" max="12" width="12.5703125" bestFit="1" customWidth="1"/>
    <col min="14" max="14" width="11" bestFit="1" customWidth="1"/>
  </cols>
  <sheetData>
    <row r="1" spans="1:11" x14ac:dyDescent="0.25">
      <c r="A1" s="5"/>
      <c r="B1" s="5"/>
      <c r="C1" s="5"/>
      <c r="D1" s="5"/>
      <c r="E1" s="5"/>
      <c r="I1" s="5"/>
      <c r="J1" s="5"/>
    </row>
    <row r="2" spans="1:11" ht="15.75" x14ac:dyDescent="0.25">
      <c r="A2" s="8"/>
      <c r="B2" s="11" t="s">
        <v>728</v>
      </c>
      <c r="C2" s="12" t="s">
        <v>41</v>
      </c>
      <c r="D2" s="16"/>
    </row>
    <row r="3" spans="1:11" ht="15.75" x14ac:dyDescent="0.25">
      <c r="A3" s="8"/>
      <c r="B3" s="11" t="s">
        <v>725</v>
      </c>
      <c r="C3" s="13">
        <v>0.03</v>
      </c>
      <c r="D3" s="17"/>
    </row>
    <row r="6" spans="1:11" ht="24.75" customHeight="1" x14ac:dyDescent="0.25">
      <c r="E6" s="8"/>
      <c r="F6" s="8"/>
      <c r="G6" s="8"/>
      <c r="H6" s="8"/>
      <c r="I6" s="8"/>
      <c r="J6" s="8"/>
      <c r="K6" s="8"/>
    </row>
    <row r="7" spans="1:11" ht="33" customHeight="1" x14ac:dyDescent="0.25">
      <c r="E7" s="15" t="s">
        <v>726</v>
      </c>
      <c r="F7" s="14" t="s">
        <v>731</v>
      </c>
      <c r="G7" s="14" t="s">
        <v>729</v>
      </c>
      <c r="H7" s="14" t="s">
        <v>735</v>
      </c>
      <c r="I7" s="14" t="s">
        <v>736</v>
      </c>
      <c r="J7" s="14" t="s">
        <v>737</v>
      </c>
      <c r="K7" s="14" t="s">
        <v>738</v>
      </c>
    </row>
    <row r="8" spans="1:11" ht="15.75" x14ac:dyDescent="0.25">
      <c r="E8" s="9" t="str" cm="1">
        <f t="array" ref="E8:E13">_xlfn._xlws.FILTER(Employee_table[EmployeeID],Employee_table[CommissionPlan]='Draw Against'!$C$2)</f>
        <v>E011</v>
      </c>
      <c r="F8" s="20">
        <f>VLOOKUP(E8,Employee_table[],7,FALSE)</f>
        <v>486440</v>
      </c>
      <c r="G8" s="10">
        <f>$C$3</f>
        <v>0.03</v>
      </c>
      <c r="H8" s="19">
        <f>G8*F8</f>
        <v>14593.199999999999</v>
      </c>
      <c r="I8" s="9">
        <f>VLOOKUP(E8,Employee_table[],6,FALSE)</f>
        <v>3750</v>
      </c>
      <c r="J8" s="19">
        <f>IF(I8&gt;H8,I8-H8,0)</f>
        <v>0</v>
      </c>
      <c r="K8" s="20">
        <f>IF(H8&gt;I8,H8-I8,0)</f>
        <v>10843.199999999999</v>
      </c>
    </row>
    <row r="9" spans="1:11" ht="15.75" x14ac:dyDescent="0.25">
      <c r="E9" s="9" t="str">
        <v>E019</v>
      </c>
      <c r="F9" s="20">
        <f>VLOOKUP(E9,Employee_table[],7,FALSE)</f>
        <v>1180600</v>
      </c>
      <c r="G9" s="10">
        <f t="shared" ref="G9:G13" si="0">$C$3</f>
        <v>0.03</v>
      </c>
      <c r="H9" s="19">
        <f t="shared" ref="H9:H13" si="1">G9*F9</f>
        <v>35418</v>
      </c>
      <c r="I9" s="9">
        <f>VLOOKUP(E9,Employee_table[],6,FALSE)</f>
        <v>2250</v>
      </c>
      <c r="J9" s="19">
        <f t="shared" ref="J9:J13" si="2">IF(I9&gt;H9,I9-H9,0)</f>
        <v>0</v>
      </c>
      <c r="K9" s="20">
        <f t="shared" ref="K9:K13" si="3">IF(H9&gt;I9,H9-I9,0)</f>
        <v>33168</v>
      </c>
    </row>
    <row r="10" spans="1:11" ht="15.75" x14ac:dyDescent="0.25">
      <c r="E10" s="9" t="str">
        <v>E024</v>
      </c>
      <c r="F10" s="20">
        <f>VLOOKUP(E10,Employee_table[],7,FALSE)</f>
        <v>856960</v>
      </c>
      <c r="G10" s="10">
        <f t="shared" si="0"/>
        <v>0.03</v>
      </c>
      <c r="H10" s="19">
        <f t="shared" si="1"/>
        <v>25708.799999999999</v>
      </c>
      <c r="I10" s="9">
        <f>VLOOKUP(E10,Employee_table[],6,FALSE)</f>
        <v>3000</v>
      </c>
      <c r="J10" s="19">
        <f t="shared" si="2"/>
        <v>0</v>
      </c>
      <c r="K10" s="20">
        <f t="shared" si="3"/>
        <v>22708.799999999999</v>
      </c>
    </row>
    <row r="11" spans="1:11" ht="15.75" x14ac:dyDescent="0.25">
      <c r="E11" s="9" t="str">
        <v>E025</v>
      </c>
      <c r="F11" s="20">
        <f>VLOOKUP(E11,Employee_table[],7,FALSE)</f>
        <v>90320</v>
      </c>
      <c r="G11" s="10">
        <f t="shared" si="0"/>
        <v>0.03</v>
      </c>
      <c r="H11" s="19">
        <f t="shared" si="1"/>
        <v>2709.6</v>
      </c>
      <c r="I11" s="9">
        <f>VLOOKUP(E11,Employee_table[],6,FALSE)</f>
        <v>3300</v>
      </c>
      <c r="J11" s="19">
        <f t="shared" si="2"/>
        <v>590.40000000000009</v>
      </c>
      <c r="K11" s="20">
        <f t="shared" si="3"/>
        <v>0</v>
      </c>
    </row>
    <row r="12" spans="1:11" ht="15.75" x14ac:dyDescent="0.25">
      <c r="E12" s="9" t="str">
        <v>E036</v>
      </c>
      <c r="F12" s="20">
        <f>VLOOKUP(E12,Employee_table[],7,FALSE)</f>
        <v>873150</v>
      </c>
      <c r="G12" s="10">
        <f t="shared" si="0"/>
        <v>0.03</v>
      </c>
      <c r="H12" s="19">
        <f t="shared" si="1"/>
        <v>26194.5</v>
      </c>
      <c r="I12" s="9">
        <f>VLOOKUP(E12,Employee_table[],6,FALSE)</f>
        <v>3750</v>
      </c>
      <c r="J12" s="19">
        <f t="shared" si="2"/>
        <v>0</v>
      </c>
      <c r="K12" s="20">
        <f t="shared" si="3"/>
        <v>22444.5</v>
      </c>
    </row>
    <row r="13" spans="1:11" ht="15.75" x14ac:dyDescent="0.25">
      <c r="E13" s="9" t="str">
        <v>E043</v>
      </c>
      <c r="F13" s="20">
        <f>VLOOKUP(E13,Employee_table[],7,FALSE)</f>
        <v>926860</v>
      </c>
      <c r="G13" s="10">
        <f t="shared" si="0"/>
        <v>0.03</v>
      </c>
      <c r="H13" s="19">
        <f t="shared" si="1"/>
        <v>27805.8</v>
      </c>
      <c r="I13" s="9">
        <f>VLOOKUP(E13,Employee_table[],6,FALSE)</f>
        <v>2250</v>
      </c>
      <c r="J13" s="19">
        <f t="shared" si="2"/>
        <v>0</v>
      </c>
      <c r="K13" s="20">
        <f t="shared" si="3"/>
        <v>25555.8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B3F7-0E40-4C21-B044-5A22284FE2D0}">
  <dimension ref="A1:L16"/>
  <sheetViews>
    <sheetView showGridLines="0" zoomScale="119" workbookViewId="0">
      <selection activeCell="B2" sqref="B2:C3"/>
    </sheetView>
  </sheetViews>
  <sheetFormatPr defaultRowHeight="15" x14ac:dyDescent="0.25"/>
  <cols>
    <col min="1" max="1" width="3" customWidth="1"/>
    <col min="2" max="2" width="18.42578125" customWidth="1"/>
    <col min="3" max="3" width="23.28515625" customWidth="1"/>
    <col min="4" max="4" width="5.7109375" customWidth="1"/>
    <col min="5" max="5" width="13.85546875" bestFit="1" customWidth="1"/>
    <col min="6" max="6" width="16.28515625" bestFit="1" customWidth="1"/>
    <col min="7" max="7" width="16.28515625" customWidth="1"/>
    <col min="8" max="9" width="12.85546875" customWidth="1"/>
    <col min="10" max="11" width="13.85546875" customWidth="1"/>
    <col min="12" max="12" width="13.140625" customWidth="1"/>
    <col min="13" max="13" width="12.5703125" bestFit="1" customWidth="1"/>
    <col min="15" max="15" width="11" bestFit="1" customWidth="1"/>
  </cols>
  <sheetData>
    <row r="1" spans="1:12" x14ac:dyDescent="0.25">
      <c r="A1" s="5"/>
      <c r="B1" s="5"/>
      <c r="C1" s="5"/>
      <c r="D1" s="5"/>
      <c r="E1" s="5"/>
      <c r="J1" s="5"/>
      <c r="K1" s="5"/>
    </row>
    <row r="2" spans="1:12" ht="15.75" x14ac:dyDescent="0.25">
      <c r="A2" s="8"/>
      <c r="B2" s="11" t="s">
        <v>728</v>
      </c>
      <c r="C2" s="12" t="s">
        <v>30</v>
      </c>
      <c r="D2" s="16"/>
    </row>
    <row r="3" spans="1:12" ht="15.75" x14ac:dyDescent="0.25">
      <c r="A3" s="8"/>
      <c r="B3" s="11" t="s">
        <v>725</v>
      </c>
      <c r="C3" s="13">
        <v>5.5E-2</v>
      </c>
      <c r="D3" s="17"/>
    </row>
    <row r="6" spans="1:12" ht="24.75" customHeight="1" x14ac:dyDescent="0.25">
      <c r="E6" s="8"/>
      <c r="F6" s="8"/>
      <c r="G6" s="8"/>
      <c r="H6" s="8"/>
      <c r="I6" s="8"/>
      <c r="J6" s="8"/>
      <c r="K6" s="8"/>
      <c r="L6" s="8"/>
    </row>
    <row r="7" spans="1:12" ht="33" customHeight="1" x14ac:dyDescent="0.25">
      <c r="E7" s="15" t="s">
        <v>726</v>
      </c>
      <c r="F7" s="14" t="s">
        <v>731</v>
      </c>
      <c r="G7" s="14" t="s">
        <v>739</v>
      </c>
      <c r="H7" s="14" t="s">
        <v>729</v>
      </c>
      <c r="I7" s="14" t="s">
        <v>734</v>
      </c>
    </row>
    <row r="8" spans="1:12" ht="15.75" x14ac:dyDescent="0.25">
      <c r="E8" s="9" t="str" cm="1">
        <f t="array" ref="E8:E16">_xlfn._xlws.FILTER(Employee_table[EmployeeID],Employee_table[CommissionPlan]='Gross Margin'!$C$2)</f>
        <v>E007</v>
      </c>
      <c r="F8" s="20">
        <f>VLOOKUP(E8,Employee_table[],7,FALSE)</f>
        <v>976640</v>
      </c>
      <c r="G8" s="20">
        <f>VLOOKUP(E8,Employee_table[],8,FALSE)</f>
        <v>315816</v>
      </c>
      <c r="H8" s="10">
        <f>$C$3</f>
        <v>5.5E-2</v>
      </c>
      <c r="I8" s="19">
        <f>G8*H8</f>
        <v>17369.88</v>
      </c>
    </row>
    <row r="9" spans="1:12" ht="15.75" x14ac:dyDescent="0.25">
      <c r="E9" s="9" t="str">
        <v>E013</v>
      </c>
      <c r="F9" s="20">
        <f>VLOOKUP(E9,Employee_table[],7,FALSE)</f>
        <v>469480</v>
      </c>
      <c r="G9" s="20">
        <f>VLOOKUP(E9,Employee_table[],8,FALSE)</f>
        <v>172472</v>
      </c>
      <c r="H9" s="10">
        <f t="shared" ref="H9:H16" si="0">$C$3</f>
        <v>5.5E-2</v>
      </c>
      <c r="I9" s="19">
        <f t="shared" ref="I9:I16" si="1">G9*H9</f>
        <v>9485.9600000000009</v>
      </c>
    </row>
    <row r="10" spans="1:12" ht="15.75" x14ac:dyDescent="0.25">
      <c r="E10" s="9" t="str">
        <v>E022</v>
      </c>
      <c r="F10" s="20">
        <f>VLOOKUP(E10,Employee_table[],7,FALSE)</f>
        <v>327310</v>
      </c>
      <c r="G10" s="20">
        <f>VLOOKUP(E10,Employee_table[],8,FALSE)</f>
        <v>125324</v>
      </c>
      <c r="H10" s="10">
        <f t="shared" si="0"/>
        <v>5.5E-2</v>
      </c>
      <c r="I10" s="19">
        <f t="shared" si="1"/>
        <v>6892.82</v>
      </c>
    </row>
    <row r="11" spans="1:12" ht="15.75" x14ac:dyDescent="0.25">
      <c r="E11" s="9" t="str">
        <v>E028</v>
      </c>
      <c r="F11" s="20">
        <f>VLOOKUP(E11,Employee_table[],7,FALSE)</f>
        <v>498500</v>
      </c>
      <c r="G11" s="20">
        <f>VLOOKUP(E11,Employee_table[],8,FALSE)</f>
        <v>170960</v>
      </c>
      <c r="H11" s="10">
        <f t="shared" si="0"/>
        <v>5.5E-2</v>
      </c>
      <c r="I11" s="19">
        <f t="shared" si="1"/>
        <v>9402.7999999999993</v>
      </c>
    </row>
    <row r="12" spans="1:12" ht="15.75" x14ac:dyDescent="0.25">
      <c r="E12" s="9" t="str">
        <v>E031</v>
      </c>
      <c r="F12" s="20">
        <f>VLOOKUP(E12,Employee_table[],7,FALSE)</f>
        <v>380510</v>
      </c>
      <c r="G12" s="20">
        <f>VLOOKUP(E12,Employee_table[],8,FALSE)</f>
        <v>135804</v>
      </c>
      <c r="H12" s="10">
        <f t="shared" si="0"/>
        <v>5.5E-2</v>
      </c>
      <c r="I12" s="19">
        <f t="shared" si="1"/>
        <v>7469.22</v>
      </c>
    </row>
    <row r="13" spans="1:12" ht="15.75" x14ac:dyDescent="0.25">
      <c r="E13" s="9" t="str">
        <v>E034</v>
      </c>
      <c r="F13" s="20">
        <f>VLOOKUP(E13,Employee_table[],7,FALSE)</f>
        <v>714570</v>
      </c>
      <c r="G13" s="20">
        <f>VLOOKUP(E13,Employee_table[],8,FALSE)</f>
        <v>244428</v>
      </c>
      <c r="H13" s="10">
        <f t="shared" si="0"/>
        <v>5.5E-2</v>
      </c>
      <c r="I13" s="19">
        <f t="shared" si="1"/>
        <v>13443.54</v>
      </c>
    </row>
    <row r="14" spans="1:12" ht="15.75" x14ac:dyDescent="0.25">
      <c r="E14" s="18" t="str">
        <v>E035</v>
      </c>
      <c r="F14" s="20">
        <f>VLOOKUP(E14,Employee_table[],7,FALSE)</f>
        <v>514720</v>
      </c>
      <c r="G14" s="20">
        <f>VLOOKUP(E14,Employee_table[],8,FALSE)</f>
        <v>181808</v>
      </c>
      <c r="H14" s="10">
        <f t="shared" si="0"/>
        <v>5.5E-2</v>
      </c>
      <c r="I14" s="19">
        <f t="shared" si="1"/>
        <v>9999.44</v>
      </c>
    </row>
    <row r="15" spans="1:12" ht="15.75" x14ac:dyDescent="0.25">
      <c r="E15" s="18" t="str">
        <v>E039</v>
      </c>
      <c r="F15" s="20">
        <f>VLOOKUP(E15,Employee_table[],7,FALSE)</f>
        <v>945750</v>
      </c>
      <c r="G15" s="20">
        <f>VLOOKUP(E15,Employee_table[],8,FALSE)</f>
        <v>303380</v>
      </c>
      <c r="H15" s="10">
        <f t="shared" si="0"/>
        <v>5.5E-2</v>
      </c>
      <c r="I15" s="19">
        <f t="shared" si="1"/>
        <v>16685.900000000001</v>
      </c>
    </row>
    <row r="16" spans="1:12" ht="15.75" x14ac:dyDescent="0.25">
      <c r="E16" s="18" t="str">
        <v>E049</v>
      </c>
      <c r="F16" s="20">
        <f>VLOOKUP(E16,Employee_table[],7,FALSE)</f>
        <v>711580</v>
      </c>
      <c r="G16" s="20">
        <f>VLOOKUP(E16,Employee_table[],8,FALSE)</f>
        <v>231432</v>
      </c>
      <c r="H16" s="10">
        <f t="shared" si="0"/>
        <v>5.5E-2</v>
      </c>
      <c r="I16" s="19">
        <f t="shared" si="1"/>
        <v>12728.76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3127-9877-41DB-B66B-115378C92F1D}">
  <dimension ref="A1:M16"/>
  <sheetViews>
    <sheetView showGridLines="0" zoomScale="137" workbookViewId="0">
      <selection activeCell="L21" sqref="L21"/>
    </sheetView>
  </sheetViews>
  <sheetFormatPr defaultRowHeight="15" x14ac:dyDescent="0.25"/>
  <cols>
    <col min="1" max="1" width="3" customWidth="1"/>
    <col min="2" max="2" width="15.85546875" customWidth="1"/>
    <col min="3" max="3" width="20.28515625" customWidth="1"/>
    <col min="4" max="4" width="5.7109375" customWidth="1"/>
    <col min="5" max="5" width="13.85546875" bestFit="1" customWidth="1"/>
    <col min="6" max="6" width="13.28515625" customWidth="1"/>
    <col min="7" max="8" width="12.85546875" customWidth="1"/>
    <col min="9" max="9" width="13.85546875" customWidth="1"/>
    <col min="10" max="10" width="12.5703125" bestFit="1" customWidth="1"/>
    <col min="11" max="11" width="15.140625" bestFit="1" customWidth="1"/>
    <col min="12" max="12" width="13.42578125" bestFit="1" customWidth="1"/>
    <col min="13" max="13" width="11.7109375" customWidth="1"/>
  </cols>
  <sheetData>
    <row r="1" spans="1:13" x14ac:dyDescent="0.25">
      <c r="A1" s="5"/>
      <c r="B1" s="5"/>
      <c r="C1" s="5"/>
      <c r="D1" s="5"/>
      <c r="E1" s="5"/>
      <c r="I1" s="5"/>
    </row>
    <row r="2" spans="1:13" ht="15.75" x14ac:dyDescent="0.25">
      <c r="A2" s="8"/>
      <c r="B2" s="11" t="s">
        <v>728</v>
      </c>
      <c r="C2" s="12" t="s">
        <v>18</v>
      </c>
      <c r="D2" s="16"/>
    </row>
    <row r="3" spans="1:13" ht="15.75" x14ac:dyDescent="0.25">
      <c r="A3" s="8"/>
      <c r="D3" s="17"/>
    </row>
    <row r="5" spans="1:13" ht="24.75" customHeight="1" x14ac:dyDescent="0.25">
      <c r="E5" s="8"/>
      <c r="F5" s="8"/>
      <c r="G5" s="8"/>
      <c r="H5" s="8"/>
      <c r="I5" s="8"/>
    </row>
    <row r="6" spans="1:13" ht="33" customHeight="1" x14ac:dyDescent="0.25">
      <c r="E6" s="15" t="s">
        <v>726</v>
      </c>
      <c r="F6" s="14" t="s">
        <v>731</v>
      </c>
      <c r="G6" s="14" t="s">
        <v>729</v>
      </c>
      <c r="H6" s="14" t="s">
        <v>734</v>
      </c>
    </row>
    <row r="7" spans="1:13" ht="15.75" x14ac:dyDescent="0.25">
      <c r="E7" s="9" t="str" cm="1">
        <f t="array" ref="E7:E13">_xlfn._xlws.FILTER(Employee_table[EmployeeID],Employee_table[CommissionPlan]='Tiered Commission'!$C$2)</f>
        <v>E003</v>
      </c>
      <c r="F7" s="20">
        <f>VLOOKUP(E7,Employee_table[],7,FALSE)</f>
        <v>659280</v>
      </c>
      <c r="G7" s="10">
        <f>_xlfn.XLOOKUP(F7,$L$10:$L$16,$M$10:$M$16,,1)</f>
        <v>0.03</v>
      </c>
      <c r="H7" s="19">
        <f>F7*G7</f>
        <v>19778.399999999998</v>
      </c>
    </row>
    <row r="8" spans="1:13" ht="15.75" x14ac:dyDescent="0.25">
      <c r="E8" s="9" t="str">
        <v>E005</v>
      </c>
      <c r="F8" s="20">
        <f>VLOOKUP(E8,Employee_table[],7,FALSE)</f>
        <v>1006320</v>
      </c>
      <c r="G8" s="10">
        <f t="shared" ref="G8:G13" si="0">_xlfn.XLOOKUP(F8,$L$10:$L$16,$M$10:$M$16,,1)</f>
        <v>0.05</v>
      </c>
      <c r="H8" s="19">
        <f t="shared" ref="H8:H13" si="1">F8*G8</f>
        <v>50316</v>
      </c>
      <c r="K8" s="23" t="s">
        <v>740</v>
      </c>
      <c r="L8" s="23"/>
      <c r="M8" s="23"/>
    </row>
    <row r="9" spans="1:13" ht="15.75" x14ac:dyDescent="0.25">
      <c r="E9" s="9" t="str">
        <v>E032</v>
      </c>
      <c r="F9" s="20">
        <f>VLOOKUP(E9,Employee_table[],7,FALSE)</f>
        <v>865410</v>
      </c>
      <c r="G9" s="10">
        <f t="shared" si="0"/>
        <v>0.05</v>
      </c>
      <c r="H9" s="19">
        <f t="shared" si="1"/>
        <v>43270.5</v>
      </c>
      <c r="K9" s="26" t="s">
        <v>741</v>
      </c>
      <c r="L9" s="26"/>
      <c r="M9" s="27" t="s">
        <v>742</v>
      </c>
    </row>
    <row r="10" spans="1:13" ht="15.75" x14ac:dyDescent="0.25">
      <c r="E10" s="9" t="str">
        <v>E041</v>
      </c>
      <c r="F10" s="20">
        <f>VLOOKUP(E10,Employee_table[],7,FALSE)</f>
        <v>997600</v>
      </c>
      <c r="G10" s="10">
        <f t="shared" si="0"/>
        <v>0.05</v>
      </c>
      <c r="H10" s="19">
        <f t="shared" si="1"/>
        <v>49880</v>
      </c>
      <c r="K10" s="24">
        <v>0</v>
      </c>
      <c r="L10" s="24">
        <v>333333</v>
      </c>
      <c r="M10" s="25">
        <v>0.02</v>
      </c>
    </row>
    <row r="11" spans="1:13" ht="15.75" x14ac:dyDescent="0.25">
      <c r="E11" s="9" t="str">
        <v>E042</v>
      </c>
      <c r="F11" s="20">
        <f>VLOOKUP(E11,Employee_table[],7,FALSE)</f>
        <v>1013810</v>
      </c>
      <c r="G11" s="10">
        <f t="shared" si="0"/>
        <v>0.05</v>
      </c>
      <c r="H11" s="19">
        <f t="shared" si="1"/>
        <v>50690.5</v>
      </c>
      <c r="K11" s="22">
        <v>333334</v>
      </c>
      <c r="L11" s="22">
        <v>666666</v>
      </c>
      <c r="M11" s="21">
        <v>0.03</v>
      </c>
    </row>
    <row r="12" spans="1:13" ht="15.75" x14ac:dyDescent="0.25">
      <c r="E12" s="9" t="str">
        <v>E048</v>
      </c>
      <c r="F12" s="20">
        <f>VLOOKUP(E12,Employee_table[],7,FALSE)</f>
        <v>407580</v>
      </c>
      <c r="G12" s="10">
        <f t="shared" si="0"/>
        <v>0.03</v>
      </c>
      <c r="H12" s="19">
        <f t="shared" si="1"/>
        <v>12227.4</v>
      </c>
      <c r="K12" s="22">
        <v>666667</v>
      </c>
      <c r="L12" s="22">
        <v>800000</v>
      </c>
      <c r="M12" s="21">
        <v>0.04</v>
      </c>
    </row>
    <row r="13" spans="1:13" ht="15.75" x14ac:dyDescent="0.25">
      <c r="E13" s="18" t="str">
        <v>E050</v>
      </c>
      <c r="F13" s="20">
        <f>VLOOKUP(E13,Employee_table[],7,FALSE)</f>
        <v>1056700</v>
      </c>
      <c r="G13" s="10">
        <f t="shared" si="0"/>
        <v>0.05</v>
      </c>
      <c r="H13" s="19">
        <f t="shared" si="1"/>
        <v>52835</v>
      </c>
      <c r="K13" s="22">
        <v>800001</v>
      </c>
      <c r="L13" s="22">
        <v>1200000</v>
      </c>
      <c r="M13" s="21">
        <v>0.05</v>
      </c>
    </row>
    <row r="14" spans="1:13" x14ac:dyDescent="0.25">
      <c r="K14" s="22">
        <v>1200001</v>
      </c>
      <c r="L14" s="22">
        <v>1600000</v>
      </c>
      <c r="M14" s="21">
        <v>0.06</v>
      </c>
    </row>
    <row r="15" spans="1:13" x14ac:dyDescent="0.25">
      <c r="K15" s="22">
        <v>1600001</v>
      </c>
      <c r="L15" s="22">
        <v>2000000</v>
      </c>
      <c r="M15" s="21">
        <v>7.0000000000000007E-2</v>
      </c>
    </row>
    <row r="16" spans="1:13" x14ac:dyDescent="0.25">
      <c r="K16" s="22">
        <v>2000001</v>
      </c>
      <c r="L16" s="22">
        <v>10000000</v>
      </c>
      <c r="M16" s="21">
        <v>0.08</v>
      </c>
    </row>
  </sheetData>
  <mergeCells count="2">
    <mergeCell ref="K9:L9"/>
    <mergeCell ref="K8:M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3CA4-8099-493B-ACDB-02715FC87BC6}">
  <dimension ref="A1:N19"/>
  <sheetViews>
    <sheetView showGridLines="0" zoomScale="120" workbookViewId="0">
      <selection activeCell="J24" sqref="J24"/>
    </sheetView>
  </sheetViews>
  <sheetFormatPr defaultRowHeight="15" x14ac:dyDescent="0.25"/>
  <cols>
    <col min="1" max="1" width="3" customWidth="1"/>
    <col min="2" max="2" width="17.28515625" customWidth="1"/>
    <col min="3" max="3" width="16.42578125" customWidth="1"/>
    <col min="4" max="4" width="3.28515625" customWidth="1"/>
    <col min="5" max="5" width="13.85546875" bestFit="1" customWidth="1"/>
    <col min="6" max="6" width="13.85546875" customWidth="1"/>
    <col min="7" max="7" width="16" bestFit="1" customWidth="1"/>
    <col min="8" max="8" width="13.85546875" customWidth="1"/>
    <col min="9" max="9" width="12.85546875" customWidth="1"/>
    <col min="10" max="11" width="13.85546875" customWidth="1"/>
    <col min="12" max="12" width="13.140625" customWidth="1"/>
    <col min="13" max="13" width="12.5703125" bestFit="1" customWidth="1"/>
    <col min="14" max="14" width="13.28515625" bestFit="1" customWidth="1"/>
    <col min="15" max="15" width="11" bestFit="1" customWidth="1"/>
  </cols>
  <sheetData>
    <row r="1" spans="1:14" x14ac:dyDescent="0.25">
      <c r="A1" s="5"/>
      <c r="B1" s="5"/>
      <c r="C1" s="5"/>
      <c r="D1" s="5"/>
      <c r="E1" s="5"/>
      <c r="J1" s="5"/>
      <c r="K1" s="5"/>
    </row>
    <row r="2" spans="1:14" ht="15.75" x14ac:dyDescent="0.25">
      <c r="A2" s="8"/>
      <c r="B2" s="11" t="s">
        <v>728</v>
      </c>
      <c r="C2" s="12" t="s">
        <v>9</v>
      </c>
      <c r="D2" s="16"/>
    </row>
    <row r="3" spans="1:14" ht="15.75" x14ac:dyDescent="0.25">
      <c r="A3" s="8"/>
      <c r="D3" s="17"/>
    </row>
    <row r="6" spans="1:14" ht="30" customHeight="1" x14ac:dyDescent="0.25">
      <c r="E6" s="8"/>
      <c r="F6" s="8"/>
      <c r="G6" s="8"/>
      <c r="H6" s="8"/>
      <c r="I6" s="8"/>
      <c r="J6" s="8"/>
      <c r="K6" s="8"/>
      <c r="L6" s="8"/>
    </row>
    <row r="7" spans="1:14" ht="33" customHeight="1" x14ac:dyDescent="0.25">
      <c r="E7" s="15" t="s">
        <v>726</v>
      </c>
      <c r="F7" s="14" t="s">
        <v>731</v>
      </c>
      <c r="G7" s="14" t="s">
        <v>3</v>
      </c>
      <c r="H7" s="14" t="s">
        <v>734</v>
      </c>
    </row>
    <row r="8" spans="1:14" ht="15.75" x14ac:dyDescent="0.25">
      <c r="E8" s="9" t="str" cm="1">
        <f t="array" ref="E8:E19">_xlfn._xlws.FILTER(Employee_table[EmployeeID],Employee_table[CommissionPlan]='Tertiary Volume'!$C$2)</f>
        <v>E001</v>
      </c>
      <c r="F8" s="20">
        <f>VLOOKUP(E8,Employee_table[],7,FALSE)</f>
        <v>463620</v>
      </c>
      <c r="G8" s="20" t="str">
        <f>VLOOKUP(E8,Employee_table[],4,FALSE)</f>
        <v>North America</v>
      </c>
      <c r="H8" s="19" cm="1">
        <f t="array" ref="H8">_xlfn.XLOOKUP(G8,_xlfn.ANCHORARRAY($K$10),$N$10:$N$14,0,0)/COUNTIF($G$8:$G$19,G8)</f>
        <v>33847.466666666667</v>
      </c>
    </row>
    <row r="9" spans="1:14" ht="15.75" x14ac:dyDescent="0.25">
      <c r="E9" s="9" t="str">
        <v>E006</v>
      </c>
      <c r="F9" s="20">
        <f>VLOOKUP(E9,Employee_table[],7,FALSE)</f>
        <v>902400</v>
      </c>
      <c r="G9" s="20" t="str">
        <f>VLOOKUP(E9,Employee_table[],4,FALSE)</f>
        <v>Europe</v>
      </c>
      <c r="H9" s="19" cm="1">
        <f t="array" ref="H9">_xlfn.XLOOKUP(G9,_xlfn.ANCHORARRAY($K$10),$N$10:$N$14,0,0)/COUNTIF($G$8:$G$19,G9)</f>
        <v>58089.599999999999</v>
      </c>
      <c r="K9" s="28" t="s">
        <v>3</v>
      </c>
      <c r="L9" s="28" t="s">
        <v>724</v>
      </c>
      <c r="M9" s="28" t="s">
        <v>742</v>
      </c>
      <c r="N9" s="28" t="s">
        <v>727</v>
      </c>
    </row>
    <row r="10" spans="1:14" ht="15.75" x14ac:dyDescent="0.25">
      <c r="E10" s="9" t="str">
        <v>E012</v>
      </c>
      <c r="F10" s="20">
        <f>VLOOKUP(E10,Employee_table[],7,FALSE)</f>
        <v>744900</v>
      </c>
      <c r="G10" s="20" t="str">
        <f>VLOOKUP(E10,Employee_table[],4,FALSE)</f>
        <v>North America</v>
      </c>
      <c r="H10" s="19" cm="1">
        <f t="array" ref="H10">_xlfn.XLOOKUP(G10,_xlfn.ANCHORARRAY($K$10),$N$10:$N$14,0,0)/COUNTIF($G$8:$G$19,G10)</f>
        <v>33847.466666666667</v>
      </c>
      <c r="K10" s="30" t="str" cm="1">
        <f t="array" ref="K10:K14">_xlfn.UNIQUE(_xlfn._xlws.FILTER(Employee_table[Market],Employee_table[CommissionPlan]='Tertiary Volume'!C2))</f>
        <v>North America</v>
      </c>
      <c r="L10" s="22">
        <f>SUMIFS(Employee_table[Total Sales],Employee_table[Market],'Tertiary Volume'!K10,Employee_table[CommissionPlan],'Tertiary Volume'!$C$2)</f>
        <v>2538560</v>
      </c>
      <c r="M10" s="21">
        <v>0.04</v>
      </c>
      <c r="N10" s="22">
        <f>L10*M10</f>
        <v>101542.40000000001</v>
      </c>
    </row>
    <row r="11" spans="1:14" ht="15.75" x14ac:dyDescent="0.25">
      <c r="E11" s="9" t="str">
        <v>E014</v>
      </c>
      <c r="F11" s="20">
        <f>VLOOKUP(E11,Employee_table[],7,FALSE)</f>
        <v>768380</v>
      </c>
      <c r="G11" s="20" t="str">
        <f>VLOOKUP(E11,Employee_table[],4,FALSE)</f>
        <v>Africa</v>
      </c>
      <c r="H11" s="19" cm="1">
        <f t="array" ref="H11">_xlfn.XLOOKUP(G11,_xlfn.ANCHORARRAY($K$10),$N$10:$N$14,0,0)/COUNTIF($G$8:$G$19,G11)</f>
        <v>17678.399999999998</v>
      </c>
      <c r="K11" s="30" t="str">
        <v>Europe</v>
      </c>
      <c r="L11" s="22">
        <f>SUMIFS(Employee_table[Total Sales],Employee_table[Market],'Tertiary Volume'!K11,Employee_table[CommissionPlan],'Tertiary Volume'!$C$2)</f>
        <v>2904480</v>
      </c>
      <c r="M11" s="21">
        <v>0.04</v>
      </c>
      <c r="N11" s="22">
        <f t="shared" ref="N11:N14" si="0">L11*M11</f>
        <v>116179.2</v>
      </c>
    </row>
    <row r="12" spans="1:14" ht="15.75" x14ac:dyDescent="0.25">
      <c r="E12" s="9" t="str">
        <v>E018</v>
      </c>
      <c r="F12" s="20">
        <f>VLOOKUP(E12,Employee_table[],7,FALSE)</f>
        <v>838500</v>
      </c>
      <c r="G12" s="20" t="str">
        <f>VLOOKUP(E12,Employee_table[],4,FALSE)</f>
        <v>Asia</v>
      </c>
      <c r="H12" s="19" cm="1">
        <f t="array" ref="H12">_xlfn.XLOOKUP(G12,_xlfn.ANCHORARRAY($K$10),$N$10:$N$14,0,0)/COUNTIF($G$8:$G$19,G12)</f>
        <v>25155</v>
      </c>
      <c r="K12" s="30" t="str">
        <v>Africa</v>
      </c>
      <c r="L12" s="22">
        <f>SUMIFS(Employee_table[Total Sales],Employee_table[Market],'Tertiary Volume'!K12,Employee_table[CommissionPlan],'Tertiary Volume'!$C$2)</f>
        <v>1767840</v>
      </c>
      <c r="M12" s="21">
        <v>0.03</v>
      </c>
      <c r="N12" s="22">
        <f t="shared" si="0"/>
        <v>53035.199999999997</v>
      </c>
    </row>
    <row r="13" spans="1:14" ht="15.75" x14ac:dyDescent="0.25">
      <c r="E13" s="9" t="str">
        <v>E020</v>
      </c>
      <c r="F13" s="20">
        <f>VLOOKUP(E13,Employee_table[],7,FALSE)</f>
        <v>1407650</v>
      </c>
      <c r="G13" s="20" t="str">
        <f>VLOOKUP(E13,Employee_table[],4,FALSE)</f>
        <v>Middle East</v>
      </c>
      <c r="H13" s="19" cm="1">
        <f t="array" ref="H13">_xlfn.XLOOKUP(G13,_xlfn.ANCHORARRAY($K$10),$N$10:$N$14,0,0)/COUNTIF($G$8:$G$19,G13)</f>
        <v>41164.6</v>
      </c>
      <c r="K13" s="30" t="str">
        <v>Asia</v>
      </c>
      <c r="L13" s="22">
        <f>SUMIFS(Employee_table[Total Sales],Employee_table[Market],'Tertiary Volume'!K13,Employee_table[CommissionPlan],'Tertiary Volume'!$C$2)</f>
        <v>838500</v>
      </c>
      <c r="M13" s="21">
        <v>0.03</v>
      </c>
      <c r="N13" s="22">
        <f t="shared" si="0"/>
        <v>25155</v>
      </c>
    </row>
    <row r="14" spans="1:14" ht="15.75" x14ac:dyDescent="0.25">
      <c r="E14" s="18" t="str">
        <v>E023</v>
      </c>
      <c r="F14" s="20">
        <f>VLOOKUP(E14,Employee_table[],7,FALSE)</f>
        <v>1730380</v>
      </c>
      <c r="G14" s="20" t="str">
        <f>VLOOKUP(E14,Employee_table[],4,FALSE)</f>
        <v>Middle East</v>
      </c>
      <c r="H14" s="19" cm="1">
        <f t="array" ref="H14">_xlfn.XLOOKUP(G14,_xlfn.ANCHORARRAY($K$10),$N$10:$N$14,0,0)/COUNTIF($G$8:$G$19,G14)</f>
        <v>41164.6</v>
      </c>
      <c r="K14" s="30" t="str">
        <v>Middle East</v>
      </c>
      <c r="L14" s="22">
        <f>SUMIFS(Employee_table[Total Sales],Employee_table[Market],'Tertiary Volume'!K14,Employee_table[CommissionPlan],'Tertiary Volume'!$C$2)</f>
        <v>4116460</v>
      </c>
      <c r="M14" s="21">
        <v>0.03</v>
      </c>
      <c r="N14" s="22">
        <f t="shared" si="0"/>
        <v>123493.79999999999</v>
      </c>
    </row>
    <row r="15" spans="1:14" ht="15.75" x14ac:dyDescent="0.25">
      <c r="E15" s="18" t="str">
        <v>E027</v>
      </c>
      <c r="F15" s="20">
        <f>VLOOKUP(E15,Employee_table[],7,FALSE)</f>
        <v>2002080</v>
      </c>
      <c r="G15" s="20" t="str">
        <f>VLOOKUP(E15,Employee_table[],4,FALSE)</f>
        <v>Europe</v>
      </c>
      <c r="H15" s="19" cm="1">
        <f t="array" ref="H15">_xlfn.XLOOKUP(G15,_xlfn.ANCHORARRAY($K$10),$N$10:$N$14,0,0)/COUNTIF($G$8:$G$19,G15)</f>
        <v>58089.599999999999</v>
      </c>
    </row>
    <row r="16" spans="1:14" ht="15.75" x14ac:dyDescent="0.25">
      <c r="E16" s="18" t="str">
        <v>E030</v>
      </c>
      <c r="F16" s="20">
        <f>VLOOKUP(E16,Employee_table[],7,FALSE)</f>
        <v>730820</v>
      </c>
      <c r="G16" s="20" t="str">
        <f>VLOOKUP(E16,Employee_table[],4,FALSE)</f>
        <v>Africa</v>
      </c>
      <c r="H16" s="19" cm="1">
        <f t="array" ref="H16">_xlfn.XLOOKUP(G16,_xlfn.ANCHORARRAY($K$10),$N$10:$N$14,0,0)/COUNTIF($G$8:$G$19,G16)</f>
        <v>17678.399999999998</v>
      </c>
    </row>
    <row r="17" spans="5:8" ht="15.75" x14ac:dyDescent="0.25">
      <c r="E17" s="18" t="str">
        <v>E037</v>
      </c>
      <c r="F17" s="20">
        <f>VLOOKUP(E17,Employee_table[],7,FALSE)</f>
        <v>978430</v>
      </c>
      <c r="G17" s="20" t="str">
        <f>VLOOKUP(E17,Employee_table[],4,FALSE)</f>
        <v>Middle East</v>
      </c>
      <c r="H17" s="19" cm="1">
        <f t="array" ref="H17">_xlfn.XLOOKUP(G17,_xlfn.ANCHORARRAY($K$10),$N$10:$N$14,0,0)/COUNTIF($G$8:$G$19,G17)</f>
        <v>41164.6</v>
      </c>
    </row>
    <row r="18" spans="5:8" ht="15.75" x14ac:dyDescent="0.25">
      <c r="E18" s="18" t="str">
        <v>E038</v>
      </c>
      <c r="F18" s="20">
        <f>VLOOKUP(E18,Employee_table[],7,FALSE)</f>
        <v>268640</v>
      </c>
      <c r="G18" s="20" t="str">
        <f>VLOOKUP(E18,Employee_table[],4,FALSE)</f>
        <v>Africa</v>
      </c>
      <c r="H18" s="19" cm="1">
        <f t="array" ref="H18">_xlfn.XLOOKUP(G18,_xlfn.ANCHORARRAY($K$10),$N$10:$N$14,0,0)/COUNTIF($G$8:$G$19,G18)</f>
        <v>17678.399999999998</v>
      </c>
    </row>
    <row r="19" spans="5:8" ht="15.75" x14ac:dyDescent="0.25">
      <c r="E19" s="18" t="str">
        <v>E040</v>
      </c>
      <c r="F19" s="20">
        <f>VLOOKUP(E19,Employee_table[],7,FALSE)</f>
        <v>1330040</v>
      </c>
      <c r="G19" s="20" t="str">
        <f>VLOOKUP(E19,Employee_table[],4,FALSE)</f>
        <v>North America</v>
      </c>
      <c r="H19" s="19" cm="1">
        <f t="array" ref="H19">_xlfn.XLOOKUP(G19,_xlfn.ANCHORARRAY($K$10),$N$10:$N$14,0,0)/COUNTIF($G$8:$G$19,G19)</f>
        <v>33847.466666666667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Employees</vt:lpstr>
      <vt:lpstr>Customers</vt:lpstr>
      <vt:lpstr>Products</vt:lpstr>
      <vt:lpstr>Sales</vt:lpstr>
      <vt:lpstr>Pivot</vt:lpstr>
      <vt:lpstr>Analysis</vt:lpstr>
      <vt:lpstr>Employees + Sales</vt:lpstr>
      <vt:lpstr>Base Rates Only </vt:lpstr>
      <vt:lpstr>Base Salary + commission</vt:lpstr>
      <vt:lpstr>Draw Against</vt:lpstr>
      <vt:lpstr>Gross Margin</vt:lpstr>
      <vt:lpstr>Tiered Commission</vt:lpstr>
      <vt:lpstr>Tertiary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Oyedokun</cp:lastModifiedBy>
  <dcterms:created xsi:type="dcterms:W3CDTF">2025-08-17T19:01:16Z</dcterms:created>
  <dcterms:modified xsi:type="dcterms:W3CDTF">2025-08-18T03:02:42Z</dcterms:modified>
</cp:coreProperties>
</file>